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f4caf577dec4187" /></Relationships>
</file>

<file path=xl/workbook.xml><?xml version="1.0" encoding="utf-8"?>
<x:workbook xmlns:x="http://schemas.openxmlformats.org/spreadsheetml/2006/main">
  <x:sheets>
    <x:sheet xmlns:r="http://schemas.openxmlformats.org/officeDocument/2006/relationships" name="Overview" sheetId="1" r:id="R41226697a461455f"/>
    <x:sheet xmlns:r="http://schemas.openxmlformats.org/officeDocument/2006/relationships" name="Raw Responses" sheetId="2" r:id="R1e3a8d8e215040a2"/>
    <x:sheet xmlns:r="http://schemas.openxmlformats.org/officeDocument/2006/relationships" name="Question Codebook" sheetId="3" r:id="R90cfbf62595a4418"/>
    <x:sheet xmlns:r="http://schemas.openxmlformats.org/officeDocument/2006/relationships" name="Answer Distributions" sheetId="4" r:id="R505a17e7820f407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13">
    <x:font>
      <x:sz val="11"/>
      <x:name val="Carlito"/>
    </x:font>
    <x:font>
      <x:b/>
      <x:sz val="16"/>
      <x:color rgb="FFFFFF"/>
      <x:name val="Carlito"/>
    </x:font>
    <x:font>
      <x:b/>
      <x:sz val="11"/>
      <x:color rgb="FFFFFF"/>
      <x:name val="Carlito"/>
    </x:font>
    <x:font>
      <x:b/>
      <x:sz val="11"/>
      <x:color rgb="1F2937"/>
      <x:name val="Carlito"/>
    </x:font>
    <x:font>
      <x:sz val="11"/>
      <x:color rgb="1F2937"/>
      <x:name val="Carlito"/>
    </x:font>
    <x:font>
      <x:b/>
      <x:sz val="16"/>
      <x:color rgb="FFFFFF"/>
      <x:name val="Aptos"/>
    </x:font>
    <x:font>
      <x:sz val="11"/>
      <x:name val="Aptos"/>
    </x:font>
    <x:font>
      <x:b/>
      <x:sz val="11"/>
      <x:color rgb="FFFFFF"/>
      <x:name val="Aptos"/>
    </x:font>
    <x:font>
      <x:b/>
      <x:sz val="11"/>
      <x:color rgb="1F2937"/>
      <x:name val="Aptos"/>
    </x:font>
    <x:font>
      <x:sz val="11"/>
      <x:color rgb="1F2937"/>
      <x:name val="Aptos"/>
    </x:font>
    <x:font>
      <x:i/>
      <x:sz val="11"/>
      <x:color rgb="1F2937"/>
      <x:name val="Carlito"/>
    </x:font>
    <x:font>
      <x:b/>
      <x:sz val="10"/>
      <x:color rgb="FFFFFF"/>
      <x:name val="Aptos"/>
    </x:font>
    <x:font>
      <x:sz val="10"/>
      <x:name val="Aptos"/>
    </x:font>
  </x:fonts>
  <x:fills count="6">
    <x:fill>
      <x:patternFill patternType="none"/>
    </x:fill>
    <x:fill>
      <x:patternFill patternType="gray125"/>
    </x:fill>
    <x:fill>
      <x:patternFill patternType="solid">
        <x:fgColor rgb="17365D"/>
      </x:patternFill>
    </x:fill>
    <x:fill>
      <x:patternFill patternType="solid">
        <x:fgColor rgb="2F75B5"/>
      </x:patternFill>
    </x:fill>
    <x:fill>
      <x:patternFill patternType="solid">
        <x:fgColor rgb="D9EAF7"/>
      </x:patternFill>
    </x:fill>
    <x:fill>
      <x:patternFill patternType="solid">
        <x:fgColor rgb="FFF2CC"/>
      </x:patternFill>
    </x:fill>
  </x:fills>
  <x:borders count="2">
    <x:border/>
    <x:border/>
  </x:borders>
  <x:cellStyleXfs count="1">
    <x:xf numFmtId="0" fontId="0" fillId="0" borderId="0"/>
  </x:cellStyleXfs>
  <x:cellXfs count="59">
    <x:xf numFmtId="0" fontId="0" fillId="0" borderId="0" xfId="0"/>
    <x:xf numFmtId="0" fontId="0" fillId="2" borderId="0" xfId="0" applyNumberFormat="1" applyFont="1" applyFill="1" applyBorder="1"/>
    <x:xf numFmtId="0" fontId="0" fillId="0" borderId="1"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horizontal="left"/>
    </x:xf>
    <x:xf numFmtId="0" fontId="1" fillId="2" borderId="1"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1"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0" fillId="4" borderId="1"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0" fillId="5" borderId="1"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5" fillId="2" borderId="0" xfId="0" applyNumberFormat="1" applyFont="1" applyFill="1" applyBorder="1" applyAlignment="1">
      <x:alignment horizontal="left" vertical="center"/>
    </x:xf>
    <x:xf numFmtId="0" fontId="6" fillId="0" borderId="0" xfId="0" applyNumberFormat="1" applyFont="1" applyFill="1" applyBorder="1"/>
    <x:xf numFmtId="0" fontId="7" fillId="3" borderId="0" xfId="0" applyNumberFormat="1" applyFont="1" applyFill="1" applyBorder="1" applyAlignment="1">
      <x:alignment horizontal="center" vertical="center" wrapText="1"/>
    </x:xf>
    <x:xf numFmtId="0" fontId="8" fillId="4" borderId="0" xfId="0" applyNumberFormat="1" applyFont="1" applyFill="1" applyBorder="1"/>
    <x:xf numFmtId="0" fontId="7" fillId="3" borderId="0" xfId="0" applyNumberFormat="1" applyFont="1" applyFill="1" applyBorder="1"/>
    <x:xf numFmtId="0" fontId="9" fillId="5" borderId="0" xfId="0" applyNumberFormat="1" applyFont="1" applyFill="1" applyBorder="1" applyAlignment="1">
      <x:alignment vertical="top" wrapText="1"/>
    </x:xf>
    <x:xf numFmtId="0" fontId="5" fillId="2" borderId="1" xfId="0" applyNumberFormat="1" applyFont="1" applyFill="1" applyBorder="1" applyAlignment="1">
      <x:alignment horizontal="left" vertical="center"/>
    </x:xf>
    <x:xf numFmtId="0" fontId="6" fillId="0" borderId="1" xfId="0" applyNumberFormat="1" applyFont="1" applyFill="1" applyBorder="1"/>
    <x:xf numFmtId="0" fontId="7" fillId="3" borderId="1" xfId="0" applyNumberFormat="1" applyFont="1" applyFill="1" applyBorder="1" applyAlignment="1">
      <x:alignment horizontal="center" vertical="center" wrapText="1"/>
    </x:xf>
    <x:xf numFmtId="0" fontId="8" fillId="4" borderId="1" xfId="0" applyNumberFormat="1" applyFont="1" applyFill="1" applyBorder="1"/>
    <x:xf numFmtId="0" fontId="7" fillId="3" borderId="1" xfId="0" applyNumberFormat="1" applyFont="1" applyFill="1" applyBorder="1"/>
    <x:xf numFmtId="0" fontId="9" fillId="5" borderId="1" xfId="0" applyNumberFormat="1" applyFont="1" applyFill="1" applyBorder="1" applyAlignment="1">
      <x:alignment vertical="top" wrapText="1"/>
    </x:xf>
    <x:xf numFmtId="0" fontId="10" fillId="5" borderId="0" xfId="0" applyNumberFormat="1" applyFont="1" applyFill="1" applyBorder="1"/>
    <x:xf numFmtId="0" fontId="10" fillId="5" borderId="1" xfId="0" applyNumberFormat="1" applyFont="1" applyFill="1" applyBorder="1"/>
    <x:xf numFmtId="0" fontId="10" fillId="5" borderId="0" xfId="0" applyNumberFormat="1" applyFont="1" applyFill="1" applyBorder="1" applyAlignment="1">
      <x:alignment wrapText="1"/>
    </x:xf>
    <x:xf numFmtId="0" fontId="10" fillId="5" borderId="1" xfId="0" applyNumberFormat="1" applyFont="1" applyFill="1" applyBorder="1" applyAlignment="1">
      <x:alignment wrapText="1"/>
    </x:xf>
    <x:xf numFmtId="0" fontId="11" fillId="3" borderId="0" xfId="0" applyNumberFormat="1" applyFont="1" applyFill="1" applyBorder="1" applyAlignment="1">
      <x:alignment horizontal="center" vertical="center" wrapText="1"/>
    </x:xf>
    <x:xf numFmtId="0" fontId="12" fillId="0" borderId="0" xfId="0" applyNumberFormat="1" applyFont="1" applyFill="1" applyBorder="1"/>
    <x:xf numFmtId="0" fontId="11" fillId="3" borderId="1" xfId="0" applyNumberFormat="1" applyFont="1" applyFill="1" applyBorder="1" applyAlignment="1">
      <x:alignment horizontal="center" vertical="center" wrapText="1"/>
    </x:xf>
    <x:xf numFmtId="0" fontId="12" fillId="0" borderId="1" xfId="0" applyNumberFormat="1" applyFont="1" applyFill="1" applyBorder="1"/>
    <x:xf numFmtId="0" fontId="12" fillId="0" borderId="0" xfId="0" applyNumberFormat="1" applyFont="1" applyFill="1" applyBorder="1" applyAlignment="1">
      <x:alignment wrapText="1"/>
    </x:xf>
    <x:xf numFmtId="0" fontId="12"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dd805c42d4440e4" /><Relationship Type="http://schemas.openxmlformats.org/officeDocument/2006/relationships/theme" Target="/xl/theme/theme1.xml" Id="Rcdaea3958cea4275" /><Relationship Type="http://schemas.openxmlformats.org/officeDocument/2006/relationships/sharedStrings" Target="/xl/sharedStrings.xml" Id="R76ddcd5d4be740b1" /><Relationship Type="http://schemas.openxmlformats.org/officeDocument/2006/relationships/worksheet" Target="/xl/worksheets/sheet1.xml" Id="R41226697a461455f" /><Relationship Type="http://schemas.openxmlformats.org/officeDocument/2006/relationships/worksheet" Target="/xl/worksheets/sheet2.xml" Id="R1e3a8d8e215040a2" /><Relationship Type="http://schemas.openxmlformats.org/officeDocument/2006/relationships/worksheet" Target="/xl/worksheets/sheet3.xml" Id="R90cfbf62595a4418" /><Relationship Type="http://schemas.openxmlformats.org/officeDocument/2006/relationships/worksheet" Target="/xl/worksheets/sheet4.xml" Id="R505a17e7820f407b" /></Relationships>
</file>

<file path=xl/tables/table1.xml><?xml version="1.0" encoding="utf-8"?>
<x:table xmlns:x="http://schemas.openxmlformats.org/spreadsheetml/2006/main" id="1" name="AnonymousResponses" displayName="AnonymousResponses" ref="A4:AJ36" headerRowCount="1">
  <x:tableColumns count="36">
    <x:tableColumn id="1" name="Anonymous Response ID"/>
    <x:tableColumn id="2" name="q1"/>
    <x:tableColumn id="3" name="q2"/>
    <x:tableColumn id="4" name="q3"/>
    <x:tableColumn id="5" name="q4"/>
    <x:tableColumn id="6" name="q5"/>
    <x:tableColumn id="7" name="q6"/>
    <x:tableColumn id="8" name="q7"/>
    <x:tableColumn id="9" name="q8"/>
    <x:tableColumn id="10" name="q9"/>
    <x:tableColumn id="11" name="q10"/>
    <x:tableColumn id="12" name="q11"/>
    <x:tableColumn id="13" name="q12"/>
    <x:tableColumn id="14" name="q13"/>
    <x:tableColumn id="15" name="q14"/>
    <x:tableColumn id="16" name="q15"/>
    <x:tableColumn id="17" name="q16"/>
    <x:tableColumn id="18" name="q17"/>
    <x:tableColumn id="19" name="q18"/>
    <x:tableColumn id="20" name="q19"/>
    <x:tableColumn id="21" name="q20"/>
    <x:tableColumn id="22" name="q21"/>
    <x:tableColumn id="23" name="q29"/>
    <x:tableColumn id="24" name="q30"/>
    <x:tableColumn id="25" name="q31"/>
    <x:tableColumn id="26" name="q32"/>
    <x:tableColumn id="27" name="q33"/>
    <x:tableColumn id="28" name="q34"/>
    <x:tableColumn id="29" name="q35"/>
    <x:tableColumn id="30" name="q22"/>
    <x:tableColumn id="31" name="q23"/>
    <x:tableColumn id="32" name="q24"/>
    <x:tableColumn id="33" name="q25"/>
    <x:tableColumn id="34" name="q26"/>
    <x:tableColumn id="35" name="q27"/>
    <x:tableColumn id="36" name="q28"/>
  </x:tableColumns>
  <x:tableStyleInfo name="TableStyleMedium2" showRowStripes="1"/>
</x:table>
</file>

<file path=xl/tables/table2.xml><?xml version="1.0" encoding="utf-8"?>
<x:table xmlns:x="http://schemas.openxmlformats.org/spreadsheetml/2006/main" id="2" name="QuestionCodebook" displayName="QuestionCodebook" ref="A3:F38" headerRowCount="1">
  <x:tableColumns count="6">
    <x:tableColumn id="1" name="Question ID"/>
    <x:tableColumn id="2" name="Section"/>
    <x:tableColumn id="3" name="Prompt"/>
    <x:tableColumn id="4" name="Type"/>
    <x:tableColumn id="5" name="Answer Options"/>
    <x:tableColumn id="6" name="Raw Column"/>
  </x:tableColumns>
  <x:tableStyleInfo name="TableStyleMedium2" showRowStripes="1"/>
</x:table>
</file>

<file path=xl/tables/table3.xml><?xml version="1.0" encoding="utf-8"?>
<x:table xmlns:x="http://schemas.openxmlformats.org/spreadsheetml/2006/main" id="3" name="AnswerDistributions" displayName="AnswerDistributions" ref="A3:F120" headerRowCount="1">
  <x:tableColumns count="6">
    <x:tableColumn id="1" name="Question ID"/>
    <x:tableColumn id="2" name="Section"/>
    <x:tableColumn id="3" name="Answer"/>
    <x:tableColumn id="4" name="Count"/>
    <x:tableColumn id="5" name="Percent"/>
    <x:tableColumn id="6" name="Promp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75b8eb3ce424aea" /></Relationships>
</file>

<file path=xl/worksheets/_rels/sheet3.xml.rels>&#65279;<?xml version="1.0" encoding="utf-8"?><Relationships xmlns="http://schemas.openxmlformats.org/package/2006/relationships"><Relationship Type="http://schemas.openxmlformats.org/officeDocument/2006/relationships/table" Target="/xl/tables/table2.xml" Id="R4ca2a283dc8b47e1" /></Relationships>
</file>

<file path=xl/worksheets/_rels/sheet4.xml.rels>&#65279;<?xml version="1.0" encoding="utf-8"?><Relationships xmlns="http://schemas.openxmlformats.org/package/2006/relationships"><Relationship Type="http://schemas.openxmlformats.org/officeDocument/2006/relationships/table" Target="/xl/tables/table3.xml" Id="Re835ca975ba3417e" /></Relationships>
</file>

<file path=xl/worksheets/sheet1.xml><?xml version="1.0" encoding="utf-8"?>
<x:worksheet xmlns:x="http://schemas.openxmlformats.org/spreadsheetml/2006/main">
  <x:sheetViews>
    <x:sheetView showGridLines="0" workbookViewId="0"/>
  </x:sheetViews>
  <x:sheetFormatPr defaultRowHeight="15"/>
  <x:cols>
    <x:col min="1" max="1" width="25" hidden="0" customWidth="1"/>
    <x:col min="2" max="2" width="4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s>
  <x:sheetData>
    <x:row r="1" ht="30" customHeight="1">
      <x:c r="A1" s="32" t="str">
        <x:v>PACT July 26 — Anonymous Survey Results</x:v>
      </x:c>
      <x:c r="B1" s="33"/>
      <x:c r="C1" s="33"/>
      <x:c r="D1" s="33"/>
      <x:c r="E1" s="33"/>
      <x:c r="F1" s="33"/>
      <x:c r="G1" s="33"/>
      <x:c r="H1" s="33"/>
    </x:row>
    <x:row r="2">
      <x:c r="A2" s="33"/>
      <x:c r="B2" s="33"/>
      <x:c r="C2" s="33"/>
      <x:c r="D2" s="33"/>
      <x:c r="E2" s="33"/>
      <x:c r="F2" s="33"/>
      <x:c r="G2" s="33"/>
      <x:c r="H2" s="33"/>
    </x:row>
    <x:row r="3" ht="34" customHeight="1">
      <x:c r="A3" s="34" t="str">
        <x:v>Measure</x:v>
      </x:c>
      <x:c r="B3" s="34" t="str">
        <x:v>Value</x:v>
      </x:c>
      <x:c r="C3" s="33"/>
      <x:c r="D3" s="33"/>
      <x:c r="E3" s="33"/>
      <x:c r="F3" s="33"/>
      <x:c r="G3" s="33"/>
      <x:c r="H3" s="33"/>
    </x:row>
    <x:row r="4">
      <x:c r="A4" s="35" t="str">
        <x:v>Cohort</x:v>
      </x:c>
      <x:c r="B4" s="33" t="str">
        <x:v>PACT July 26</x:v>
      </x:c>
      <x:c r="C4" s="33"/>
      <x:c r="D4" s="33"/>
      <x:c r="E4" s="33"/>
      <x:c r="F4" s="33"/>
      <x:c r="G4" s="33"/>
      <x:c r="H4" s="33"/>
    </x:row>
    <x:row r="5">
      <x:c r="A5" s="35" t="str">
        <x:v>Course dates</x:v>
      </x:c>
      <x:c r="B5" s="33" t="str">
        <x:v>July 13–17, 2026</x:v>
      </x:c>
      <x:c r="C5" s="33"/>
      <x:c r="D5" s="33"/>
      <x:c r="E5" s="33"/>
      <x:c r="F5" s="33"/>
      <x:c r="G5" s="33"/>
      <x:c r="H5" s="33"/>
    </x:row>
    <x:row r="6">
      <x:c r="A6" s="35" t="str">
        <x:v>Survey</x:v>
      </x:c>
      <x:c r="B6" s="33" t="str">
        <x:v>Post-Course Survey</x:v>
      </x:c>
      <x:c r="C6" s="33"/>
      <x:c r="D6" s="33"/>
      <x:c r="E6" s="33"/>
      <x:c r="F6" s="33"/>
      <x:c r="G6" s="33"/>
      <x:c r="H6" s="33"/>
    </x:row>
    <x:row r="7">
      <x:c r="A7" s="35" t="str">
        <x:v>Anonymous responses</x:v>
      </x:c>
      <x:c r="B7" s="33" t="n">
        <x:f>COUNTA('Raw Responses'!$A$5:$A$36)</x:f>
        <x:v>32</x:v>
      </x:c>
      <x:c r="C7" s="33"/>
      <x:c r="D7" s="33"/>
      <x:c r="E7" s="33"/>
      <x:c r="F7" s="33"/>
      <x:c r="G7" s="33"/>
      <x:c r="H7" s="33"/>
    </x:row>
    <x:row r="8">
      <x:c r="A8" s="35" t="str">
        <x:v>Privacy status</x:v>
      </x:c>
      <x:c r="B8" s="33" t="str">
        <x:v>Identity fields removed</x:v>
      </x:c>
      <x:c r="C8" s="33"/>
      <x:c r="D8" s="33"/>
      <x:c r="E8" s="33"/>
      <x:c r="F8" s="33"/>
      <x:c r="G8" s="33"/>
      <x:c r="H8" s="33"/>
    </x:row>
    <x:row r="9">
      <x:c r="A9" s="33"/>
      <x:c r="B9" s="33"/>
      <x:c r="C9" s="33"/>
      <x:c r="D9" s="33"/>
      <x:c r="E9" s="33"/>
      <x:c r="F9" s="33"/>
      <x:c r="G9" s="33"/>
      <x:c r="H9" s="33"/>
    </x:row>
    <x:row r="10">
      <x:c r="A10" s="36" t="str">
        <x:v>Privacy and interpretation notes</x:v>
      </x:c>
      <x:c r="B10" s="36"/>
      <x:c r="C10" s="36"/>
      <x:c r="D10" s="36"/>
      <x:c r="E10" s="36"/>
      <x:c r="F10" s="36"/>
      <x:c r="G10" s="36"/>
      <x:c r="H10" s="36"/>
    </x:row>
    <x:row r="11">
      <x:c r="A11" s="37" t="str">
        <x:v>This workbook contains no learner names, user IDs, email addresses, squad IDs, submission IDs, or timestamps. Rows were randomized and assigned nonpersistent ANON labels that cannot be joined back to PACT records. Free-text answers preserve the original response except for automated redaction of common emails, phone numbers, URLs, UUIDs, and explicit self-introduction phrases. Because free text can contain context that indirectly identifies a respondent, share this workbook only with staff who have a legitimate course-improvement need. Do not combine these rows with other learner-level datasets.</x:v>
      </x:c>
      <x:c r="B11" s="37"/>
      <x:c r="C11" s="37"/>
      <x:c r="D11" s="37"/>
      <x:c r="E11" s="37"/>
      <x:c r="F11" s="37"/>
      <x:c r="G11" s="37"/>
      <x:c r="H11" s="37"/>
    </x:row>
    <x:row r="12">
      <x:c r="A12" s="37"/>
      <x:c r="B12" s="37"/>
      <x:c r="C12" s="37"/>
      <x:c r="D12" s="37"/>
      <x:c r="E12" s="37"/>
      <x:c r="F12" s="37"/>
      <x:c r="G12" s="37"/>
      <x:c r="H12" s="37"/>
    </x:row>
    <x:row r="13">
      <x:c r="A13" s="37"/>
      <x:c r="B13" s="37"/>
      <x:c r="C13" s="37"/>
      <x:c r="D13" s="37"/>
      <x:c r="E13" s="37"/>
      <x:c r="F13" s="37"/>
      <x:c r="G13" s="37"/>
      <x:c r="H13" s="37"/>
    </x:row>
    <x:row r="14">
      <x:c r="A14" s="37"/>
      <x:c r="B14" s="37"/>
      <x:c r="C14" s="37"/>
      <x:c r="D14" s="37"/>
      <x:c r="E14" s="37"/>
      <x:c r="F14" s="37"/>
      <x:c r="G14" s="37"/>
      <x:c r="H14" s="37"/>
    </x:row>
    <x:row r="15">
      <x:c r="A15" s="37"/>
      <x:c r="B15" s="37"/>
      <x:c r="C15" s="37"/>
      <x:c r="D15" s="37"/>
      <x:c r="E15" s="37"/>
      <x:c r="F15" s="37"/>
      <x:c r="G15" s="37"/>
      <x:c r="H15" s="37"/>
    </x:row>
    <x:row r="16">
      <x:c r="A16" s="37"/>
      <x:c r="B16" s="37"/>
      <x:c r="C16" s="37"/>
      <x:c r="D16" s="37"/>
      <x:c r="E16" s="37"/>
      <x:c r="F16" s="37"/>
      <x:c r="G16" s="37"/>
      <x:c r="H16" s="37"/>
    </x:row>
    <x:row r="17">
      <x:c r="A17" s="33"/>
      <x:c r="B17" s="33"/>
      <x:c r="C17" s="33"/>
      <x:c r="D17" s="33"/>
      <x:c r="E17" s="33"/>
      <x:c r="F17" s="33"/>
      <x:c r="G17" s="33"/>
      <x:c r="H17" s="33"/>
    </x:row>
    <x:row r="18">
      <x:c r="A18" s="36" t="str">
        <x:v>Workbook contents</x:v>
      </x:c>
      <x:c r="B18" s="36"/>
      <x:c r="C18" s="36"/>
      <x:c r="D18" s="36"/>
      <x:c r="E18" s="36"/>
      <x:c r="F18" s="36"/>
      <x:c r="G18" s="36"/>
      <x:c r="H18" s="36"/>
    </x:row>
    <x:row r="19" ht="34" customHeight="1">
      <x:c r="A19" s="34" t="str">
        <x:v>Sheet</x:v>
      </x:c>
      <x:c r="B19" s="34" t="str">
        <x:v>Purpose</x:v>
      </x:c>
      <x:c r="C19" s="33"/>
      <x:c r="D19" s="33"/>
      <x:c r="E19" s="33"/>
      <x:c r="F19" s="33"/>
      <x:c r="G19" s="33"/>
      <x:c r="H19" s="33"/>
    </x:row>
    <x:row r="20">
      <x:c r="A20" s="33" t="str">
        <x:v>Raw Responses</x:v>
      </x:c>
      <x:c r="B20" s="33" t="str">
        <x:v>One randomized anonymous row per completed response</x:v>
      </x:c>
      <x:c r="C20" s="33"/>
      <x:c r="D20" s="33"/>
      <x:c r="E20" s="33"/>
      <x:c r="F20" s="33"/>
      <x:c r="G20" s="33"/>
      <x:c r="H20" s="33"/>
    </x:row>
    <x:row r="21">
      <x:c r="A21" s="33" t="str">
        <x:v>Question Codebook</x:v>
      </x:c>
      <x:c r="B21" s="33" t="str">
        <x:v>Question IDs, sections, prompts, types, and answer options</x:v>
      </x:c>
      <x:c r="C21" s="33"/>
      <x:c r="D21" s="33"/>
      <x:c r="E21" s="33"/>
      <x:c r="F21" s="33"/>
      <x:c r="G21" s="33"/>
      <x:c r="H21" s="33"/>
    </x:row>
    <x:row r="22">
      <x:c r="A22" s="33" t="str">
        <x:v>Answer Distributions</x:v>
      </x:c>
      <x:c r="B22" s="33" t="str">
        <x:v>Formula-driven counts and percentages for categorical answers</x:v>
      </x:c>
      <x:c r="C22" s="33"/>
      <x:c r="D22" s="33"/>
      <x:c r="E22" s="33"/>
      <x:c r="F22" s="33"/>
      <x:c r="G22" s="33"/>
      <x:c r="H22" s="33"/>
    </x:row>
  </x:sheetData>
  <x:mergeCells>
    <x:mergeCell ref="A1:H1"/>
    <x:mergeCell ref="A10:H10"/>
    <x:mergeCell ref="A11:H16"/>
    <x:mergeCell ref="A18:H18"/>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40" hidden="0" customWidth="1"/>
    <x:col min="11" max="11" width="40" hidden="0" customWidth="1"/>
    <x:col min="12" max="12" width="24" hidden="0" customWidth="1"/>
    <x:col min="13" max="13" width="40" hidden="0" customWidth="1"/>
    <x:col min="14" max="14" width="40" hidden="0" customWidth="1"/>
    <x:col min="15" max="15" width="40" hidden="0" customWidth="1"/>
    <x:col min="16" max="16" width="40" hidden="0" customWidth="1"/>
    <x:col min="17" max="17" width="40" hidden="0" customWidth="1"/>
    <x:col min="18" max="18" width="24" hidden="0" customWidth="1"/>
    <x:col min="19" max="19" width="24" hidden="0" customWidth="1"/>
    <x:col min="20" max="20" width="24" hidden="0" customWidth="1"/>
    <x:col min="21" max="21" width="24" hidden="0" customWidth="1"/>
    <x:col min="22" max="22" width="40" hidden="0" customWidth="1"/>
    <x:col min="23" max="23" width="24" hidden="0" customWidth="1"/>
    <x:col min="24" max="24" width="24" hidden="0" customWidth="1"/>
    <x:col min="25" max="25" width="24" hidden="0" customWidth="1"/>
    <x:col min="26" max="26" width="24" hidden="0" customWidth="1"/>
    <x:col min="27" max="27" width="24" hidden="0" customWidth="1"/>
    <x:col min="28" max="28" width="24" hidden="0" customWidth="1"/>
    <x:col min="29" max="29" width="40" hidden="0" customWidth="1"/>
    <x:col min="30" max="30" width="24" hidden="0" customWidth="1"/>
    <x:col min="31" max="31" width="24" hidden="0" customWidth="1"/>
    <x:col min="32" max="32" width="24" hidden="0" customWidth="1"/>
    <x:col min="33" max="33" width="24" hidden="0" customWidth="1"/>
    <x:col min="34" max="34" width="40" hidden="0" customWidth="1"/>
    <x:col min="35" max="35" width="40" hidden="0" customWidth="1"/>
    <x:col min="36" max="36" width="40" hidden="0" customWidth="1"/>
  </x:cols>
  <x:sheetData>
    <x:row r="1" ht="30" customHeight="1">
      <x:c r="A1" s="8" t="str">
        <x:v>Randomized Anonymous Response Records</x:v>
      </x:c>
    </x:row>
    <x:row r="2">
      <x:c r="A2" s="46" t="str">
        <x:v>No identity or submission metadata is included. Free-text fields received automated direct-identifier redaction.</x:v>
      </x:c>
    </x:row>
    <x:row r="4" ht="34" customHeight="1">
      <x:c r="A4" s="48" t="str">
        <x:v>Anonymous Response ID</x:v>
      </x:c>
      <x:c r="B4" s="48" t="str">
        <x:v>q1</x:v>
      </x:c>
      <x:c r="C4" s="48" t="str">
        <x:v>q2</x:v>
      </x:c>
      <x:c r="D4" s="48" t="str">
        <x:v>q3</x:v>
      </x:c>
      <x:c r="E4" s="48" t="str">
        <x:v>q4</x:v>
      </x:c>
      <x:c r="F4" s="48" t="str">
        <x:v>q5</x:v>
      </x:c>
      <x:c r="G4" s="48" t="str">
        <x:v>q6</x:v>
      </x:c>
      <x:c r="H4" s="48" t="str">
        <x:v>q7</x:v>
      </x:c>
      <x:c r="I4" s="48" t="str">
        <x:v>q8</x:v>
      </x:c>
      <x:c r="J4" s="48" t="str">
        <x:v>q9</x:v>
      </x:c>
      <x:c r="K4" s="48" t="str">
        <x:v>q10</x:v>
      </x:c>
      <x:c r="L4" s="48" t="str">
        <x:v>q11</x:v>
      </x:c>
      <x:c r="M4" s="48" t="str">
        <x:v>q12</x:v>
      </x:c>
      <x:c r="N4" s="48" t="str">
        <x:v>q13</x:v>
      </x:c>
      <x:c r="O4" s="48" t="str">
        <x:v>q14</x:v>
      </x:c>
      <x:c r="P4" s="48" t="str">
        <x:v>q15</x:v>
      </x:c>
      <x:c r="Q4" s="48" t="str">
        <x:v>q16</x:v>
      </x:c>
      <x:c r="R4" s="48" t="str">
        <x:v>q17</x:v>
      </x:c>
      <x:c r="S4" s="48" t="str">
        <x:v>q18</x:v>
      </x:c>
      <x:c r="T4" s="48" t="str">
        <x:v>q19</x:v>
      </x:c>
      <x:c r="U4" s="48" t="str">
        <x:v>q20</x:v>
      </x:c>
      <x:c r="V4" s="48" t="str">
        <x:v>q21</x:v>
      </x:c>
      <x:c r="W4" s="48" t="str">
        <x:v>q29</x:v>
      </x:c>
      <x:c r="X4" s="48" t="str">
        <x:v>q30</x:v>
      </x:c>
      <x:c r="Y4" s="48" t="str">
        <x:v>q31</x:v>
      </x:c>
      <x:c r="Z4" s="48" t="str">
        <x:v>q32</x:v>
      </x:c>
      <x:c r="AA4" s="48" t="str">
        <x:v>q33</x:v>
      </x:c>
      <x:c r="AB4" s="48" t="str">
        <x:v>q34</x:v>
      </x:c>
      <x:c r="AC4" s="48" t="str">
        <x:v>q35</x:v>
      </x:c>
      <x:c r="AD4" s="48" t="str">
        <x:v>q22</x:v>
      </x:c>
      <x:c r="AE4" s="48" t="str">
        <x:v>q23</x:v>
      </x:c>
      <x:c r="AF4" s="48" t="str">
        <x:v>q24</x:v>
      </x:c>
      <x:c r="AG4" s="48" t="str">
        <x:v>q25</x:v>
      </x:c>
      <x:c r="AH4" s="48" t="str">
        <x:v>q26</x:v>
      </x:c>
      <x:c r="AI4" s="48" t="str">
        <x:v>q27</x:v>
      </x:c>
      <x:c r="AJ4" s="48" t="str">
        <x:v>q28</x:v>
      </x:c>
    </x:row>
    <x:row r="5">
      <x:c r="A5" s="52" t="str">
        <x:v>ANON-001</x:v>
      </x:c>
      <x:c r="B5" s="52" t="str">
        <x:v>Disagree</x:v>
      </x:c>
      <x:c r="C5" s="52" t="str">
        <x:v>Agree</x:v>
      </x:c>
      <x:c r="D5" s="52" t="str">
        <x:v>Disagree</x:v>
      </x:c>
      <x:c r="E5" s="52" t="str">
        <x:v>Neutral</x:v>
      </x:c>
      <x:c r="F5" s="52" t="str">
        <x:v>Neutral</x:v>
      </x:c>
      <x:c r="G5" s="52" t="str">
        <x:v>Agree</x:v>
      </x:c>
      <x:c r="H5" s="52" t="str">
        <x:v>Disagree</x:v>
      </x:c>
      <x:c r="I5" s="52" t="str">
        <x:v>Neutral</x:v>
      </x:c>
      <x:c r="J5" s="52" t="str">
        <x:v>Spending time in the cyber kinetic range and learning about tools available to use that I was not previously aware of</x:v>
      </x:c>
      <x:c r="K5" s="52" t="str">
        <x:v>Decrease the overall amount of content to make it more digestable over one week, this will allow for more learning as people won't spend time copying and pasting information to meet times.</x:v>
      </x:c>
      <x:c r="L5" s="52" t="str">
        <x:v>Neutral</x:v>
      </x:c>
      <x:c r="M5" s="52" t="str"/>
      <x:c r="N5" s="52" t="str"/>
      <x:c r="O5" s="52" t="str"/>
      <x:c r="P5" s="52" t="str"/>
      <x:c r="Q5" s="52" t="str"/>
      <x:c r="R5" s="52" t="str">
        <x:v>Neutral</x:v>
      </x:c>
      <x:c r="S5" s="52" t="str">
        <x:v>Agree</x:v>
      </x:c>
      <x:c r="T5" s="52" t="str">
        <x:v>Disagree</x:v>
      </x:c>
      <x:c r="U5" s="52" t="str">
        <x:v>Neutral</x:v>
      </x:c>
      <x:c r="V5" s="52" t="str">
        <x:v>Again, the scenario content was too voluminous for one week, more learning would happen if it was decreased.</x:v>
      </x:c>
      <x:c r="W5" s="52" t="str">
        <x:v>Neutral</x:v>
      </x:c>
      <x:c r="X5" s="52" t="str">
        <x:v>Disagree</x:v>
      </x:c>
      <x:c r="Y5" s="52" t="str">
        <x:v>Disagree</x:v>
      </x:c>
      <x:c r="Z5" s="52" t="str">
        <x:v>Agree</x:v>
      </x:c>
      <x:c r="AA5" s="52" t="str">
        <x:v>Disagree</x:v>
      </x:c>
      <x:c r="AB5" s="52" t="str">
        <x:v>Other (describe below)</x:v>
      </x:c>
      <x:c r="AC5" s="52" t="str">
        <x:v>Just provide fewer drops with less information. It is good to simulate a real world environment but there is too much to go through in the time that we have. People need time to digest information and actually investigate it. There is some fluff in the drops that could reasonably be condensed.</x:v>
      </x:c>
      <x:c r="AD5" s="52" t="str">
        <x:v>Neutral</x:v>
      </x:c>
      <x:c r="AE5" s="52" t="str">
        <x:v>Disagree</x:v>
      </x:c>
      <x:c r="AF5" s="52" t="str">
        <x:v>Neutral</x:v>
      </x:c>
      <x:c r="AG5" s="52" t="str">
        <x:v>Agree</x:v>
      </x:c>
      <x:c r="AH5" s="52" t="str"/>
      <x:c r="AI5" s="52" t="str"/>
      <x:c r="AJ5" s="52" t="str"/>
    </x:row>
    <x:row r="6">
      <x:c r="A6" s="52" t="str">
        <x:v>ANON-002</x:v>
      </x:c>
      <x:c r="B6" s="52" t="str">
        <x:v>Neutral</x:v>
      </x:c>
      <x:c r="C6" s="52" t="str">
        <x:v>Strongly agree</x:v>
      </x:c>
      <x:c r="D6" s="52" t="str">
        <x:v>Strongly agree</x:v>
      </x:c>
      <x:c r="E6" s="52" t="str">
        <x:v>Strongly agree</x:v>
      </x:c>
      <x:c r="F6" s="52" t="str">
        <x:v>Disagree</x:v>
      </x:c>
      <x:c r="G6" s="52" t="str">
        <x:v>Strongly agree</x:v>
      </x:c>
      <x:c r="H6" s="52" t="str">
        <x:v>Strongly agree</x:v>
      </x:c>
      <x:c r="I6" s="52" t="str">
        <x:v>Strongly agree</x:v>
      </x:c>
      <x:c r="J6" s="52" t="str">
        <x:v>Kinetic Cyber Range</x:v>
      </x:c>
      <x:c r="K6" s="52" t="str">
        <x:v>There wasn't enough instruction on which challenges needed to be done individually and which were squad</x:v>
      </x:c>
      <x:c r="L6" s="52" t="str">
        <x:v>Agree</x:v>
      </x:c>
      <x:c r="M6" s="52" t="str"/>
      <x:c r="N6" s="52" t="str">
        <x:v>Crypto</x:v>
      </x:c>
      <x:c r="O6" s="52" t="str"/>
      <x:c r="P6" s="52" t="str"/>
      <x:c r="Q6" s="52" t="str">
        <x:v>I think the niche-er things could be expanded on (like crypto, OSINT tools, etc) at the expense of the things that are covered in typical FBI training, like warrants, etc, where it felt quite repetitive</x:v>
      </x:c>
      <x:c r="R6" s="52" t="str">
        <x:v>Agree</x:v>
      </x:c>
      <x:c r="S6" s="52" t="str">
        <x:v>Disagree</x:v>
      </x:c>
      <x:c r="T6" s="52" t="str">
        <x:v>Agree</x:v>
      </x:c>
      <x:c r="U6" s="52" t="str">
        <x:v>Agree</x:v>
      </x:c>
      <x:c r="V6" s="52" t="str">
        <x:v>Internet break downs</x:v>
      </x:c>
      <x:c r="W6" s="52" t="str">
        <x:v>Strongly agree</x:v>
      </x:c>
      <x:c r="X6" s="52" t="str">
        <x:v>Strongly agree</x:v>
      </x:c>
      <x:c r="Y6" s="52" t="str">
        <x:v>Strongly agree</x:v>
      </x:c>
      <x:c r="Z6" s="52" t="str">
        <x:v>Strongly agree</x:v>
      </x:c>
      <x:c r="AA6" s="52" t="str">
        <x:v>Strongly agree</x:v>
      </x:c>
      <x:c r="AB6" s="52" t="str">
        <x:v>Provide more briefing before each evidence drop</x:v>
      </x:c>
      <x:c r="AC6" s="52" t="str"/>
      <x:c r="AD6" s="52" t="str">
        <x:v>Strongly disagree</x:v>
      </x:c>
      <x:c r="AE6" s="52" t="str">
        <x:v>Strongly disagree</x:v>
      </x:c>
      <x:c r="AF6" s="52" t="str">
        <x:v>Agree</x:v>
      </x:c>
      <x:c r="AG6" s="52" t="str">
        <x:v>Disagree</x:v>
      </x:c>
      <x:c r="AH6" s="52" t="str"/>
      <x:c r="AI6" s="52" t="str"/>
      <x:c r="AJ6" s="52" t="str"/>
    </x:row>
    <x:row r="7">
      <x:c r="A7" s="52" t="str">
        <x:v>ANON-003</x:v>
      </x:c>
      <x:c r="B7" s="52" t="str">
        <x:v>Strongly agree</x:v>
      </x:c>
      <x:c r="C7" s="52" t="str">
        <x:v>Strongly agree</x:v>
      </x:c>
      <x:c r="D7" s="52" t="str">
        <x:v>Strongly agree</x:v>
      </x:c>
      <x:c r="E7" s="52" t="str">
        <x:v>Strongly agree</x:v>
      </x:c>
      <x:c r="F7" s="52" t="str">
        <x:v>Strongly agree</x:v>
      </x:c>
      <x:c r="G7" s="52" t="str">
        <x:v>Strongly agree</x:v>
      </x:c>
      <x:c r="H7" s="52" t="str">
        <x:v>Strongly agree</x:v>
      </x:c>
      <x:c r="I7" s="52" t="str">
        <x:v>Strongly agree</x:v>
      </x:c>
      <x:c r="J7" s="52" t="str">
        <x:v>Working the scenario and experiencing a quasi spoon-fed example with obvious artifacts to find was  good level-setting situation that also gave confidence for each members' professional role to shine through. For example, the DA could do DA stuff with the "easy" info and share it. etc.</x:v>
      </x:c>
      <x:c r="K7" s="52" t="str">
        <x:v>Related to the scenario, I would remove the points and grading aspect, and empower more critical thinking and sharing so that my response in Q9 could be more apparent. For example, our group became fixated on "completing the tasker" and searching for the answers with "key words" rather than actually "working the problem" as if we were trying to unearth evidence and use each person's roles appropriately. This might be b/c a lot of the folks are fresh out of quantico and want the "perfect" answer over learning. But I enjoyed more learning how people attacked the problems and learning what information they specifically looked for in order to answer the problem (the million ways to skin a cat idea). So remove the grading. Remove the copy+Paste idea. And print items out so that people can take notes, post them on a white board, or perhaps use OneNote to collaborate across the squads.</x:v>
      </x:c>
      <x:c r="L7" s="52" t="str">
        <x:v>Strongly agree</x:v>
      </x:c>
      <x:c r="M7" s="52" t="str">
        <x:v>Powershell use. Understanding the networking aspects of DNS, to/from IPs, etc. Week 1. Also, I am not sure where confidence intervals are ever coming into play as an agent. Perhaps the FBI is moving this way, but justice is not a confidence interval. We seek probable cause and the hypothesis is whether a 1030 violation happened or not. I think it is risky to start applying confidence intervals to elements of the crime and could undermine judicial success.</x:v>
      </x:c>
      <x:c r="N7" s="52" t="str">
        <x:v>Perhaps this is more applicable to national security, but how to best leverage Cyber HQ to push the relationships and liaising for your cases with either foreign partners or OGAs. A better introduction to Foreign Disseminations should be provided, so that folks walk away knowing there is a process required prior to engaging with any foreign partner or foreign company. Also sharing information outside the FBI requires HQ approval-so that is a key aspect that should be shared.</x:v>
      </x:c>
      <x:c r="O7" s="52" t="str">
        <x:v>I would have preferred more homework and study materials at night (even if they were open source industry tools). For example, the drops would have been great to have each night so we could independently dig in at our own pace and then have time to develop our own questions. An example of a TIR assessment of a threat actor would also be good to dig through and, if possible, show the difference between different brands.</x:v>
      </x:c>
      <x:c r="P7" s="52" t="str"/>
      <x:c r="Q7" s="52" t="str">
        <x:v>I think all of the instructors are great. Kelly, George, and Nick were all great.</x:v>
      </x:c>
      <x:c r="R7" s="52" t="str">
        <x:v>Strongly agree</x:v>
      </x:c>
      <x:c r="S7" s="52" t="str">
        <x:v>Agree</x:v>
      </x:c>
      <x:c r="T7" s="52" t="str">
        <x:v>Strongly agree</x:v>
      </x:c>
      <x:c r="U7" s="52" t="str">
        <x:v>Agree</x:v>
      </x:c>
      <x:c r="V7" s="52" t="str"/>
      <x:c r="W7" s="52" t="str">
        <x:v>Neutral</x:v>
      </x:c>
      <x:c r="X7" s="52" t="str">
        <x:v>Disagree</x:v>
      </x:c>
      <x:c r="Y7" s="52" t="str">
        <x:v>Strongly disagree</x:v>
      </x:c>
      <x:c r="Z7" s="52" t="str">
        <x:v>Agree</x:v>
      </x:c>
      <x:c r="AA7" s="52" t="str">
        <x:v>Disagree</x:v>
      </x:c>
      <x:c r="AB7" s="52" t="str">
        <x:v>Other (describe below)</x:v>
      </x:c>
      <x:c r="AC7" s="52" t="str">
        <x:v>I would give the homework for independent work, then drop less often, but more complex information that would force us to use more challenging tactics to consider/triage/assess it. I'd also force folks to discuss WHY they think what they think and HOW they arrived there. Not copy/paste the spoonfed evidence.</x:v>
      </x:c>
      <x:c r="AD7" s="52" t="str">
        <x:v>Agree</x:v>
      </x:c>
      <x:c r="AE7" s="52" t="str">
        <x:v>Agree</x:v>
      </x:c>
      <x:c r="AF7" s="52" t="str">
        <x:v>Strongly agree</x:v>
      </x:c>
      <x:c r="AG7" s="52" t="str">
        <x:v>Strongly agree</x:v>
      </x:c>
      <x:c r="AH7" s="52" t="str">
        <x:v>I truly enjoyed innovation, effort, and creativity. I wish the drops could be downloaded at once and inserted into an editable format (like OneNote) so that highlights, edits, notes could be made and shared across multiple users.</x:v>
      </x:c>
      <x:c r="AI7" s="52" t="str">
        <x:v>None. The app issues were still less frequent than the FBI's normal systems functioning. So any complaints were just complaints.</x:v>
      </x:c>
      <x:c r="AJ7" s="52" t="str">
        <x:v>n/a</x:v>
      </x:c>
    </x:row>
    <x:row r="8">
      <x:c r="A8" s="52" t="str">
        <x:v>ANON-004</x:v>
      </x:c>
      <x:c r="B8" s="52" t="str">
        <x:v>Agree</x:v>
      </x:c>
      <x:c r="C8" s="52" t="str">
        <x:v>Agree</x:v>
      </x:c>
      <x:c r="D8" s="52" t="str">
        <x:v>Agree</x:v>
      </x:c>
      <x:c r="E8" s="52" t="str">
        <x:v>Neutral</x:v>
      </x:c>
      <x:c r="F8" s="52" t="str">
        <x:v>Agree</x:v>
      </x:c>
      <x:c r="G8" s="52" t="str">
        <x:v>Agree</x:v>
      </x:c>
      <x:c r="H8" s="52" t="str">
        <x:v>Agree</x:v>
      </x:c>
      <x:c r="I8" s="52" t="str">
        <x:v>Agree</x:v>
      </x:c>
      <x:c r="J8" s="52" t="str">
        <x:v>The presentation about different tools available to use for different types of information, to include some resources I hadn't heard of for parsing returns.</x:v>
      </x:c>
      <x:c r="K8" s="52" t="str">
        <x:v>Coordinate with BITS so topics aren't repeated in presentations both weeks. Recommend a little less time on legal process and more time on investigative tools and how to use them.</x:v>
      </x:c>
      <x:c r="L8" s="52" t="str">
        <x:v>Agree</x:v>
      </x:c>
      <x:c r="M8" s="52" t="str"/>
      <x:c r="N8" s="52" t="str"/>
      <x:c r="O8" s="52" t="str"/>
      <x:c r="P8" s="52" t="str">
        <x:v>If CETU has good ponies for common cyber case things (like an FDR to X country for X type records), that could be useful.</x:v>
      </x:c>
      <x:c r="Q8" s="52" t="str">
        <x:v>I liked the custom website; obviously it is still being debugged, but it is a cool different way to do a training class. The standings made it fun. All of the instructors were friendly and competent, no issues on the instruction side of things.</x:v>
      </x:c>
      <x:c r="R8" s="52" t="str">
        <x:v>Strongly agree</x:v>
      </x:c>
      <x:c r="S8" s="52" t="str">
        <x:v>Strongly agree</x:v>
      </x:c>
      <x:c r="T8" s="52" t="str">
        <x:v>Strongly agree</x:v>
      </x:c>
      <x:c r="U8" s="52" t="str">
        <x:v>Agree</x:v>
      </x:c>
      <x:c r="V8" s="52" t="str"/>
      <x:c r="W8" s="52" t="str">
        <x:v>Neutral</x:v>
      </x:c>
      <x:c r="X8" s="52" t="str">
        <x:v>Neutral</x:v>
      </x:c>
      <x:c r="Y8" s="52" t="str">
        <x:v>Neutral</x:v>
      </x:c>
      <x:c r="Z8" s="52" t="str">
        <x:v>Neutral</x:v>
      </x:c>
      <x:c r="AA8" s="52" t="str">
        <x:v>Agree</x:v>
      </x:c>
      <x:c r="AB8" s="52" t="str">
        <x:v>Other (describe below)</x:v>
      </x:c>
      <x:c r="AC8" s="52" t="str">
        <x:v>If feasible, make the content drops a bit more realistic to what you see in a typical investigation. For example, show a realistic netflow file, 2703d return, host machine logs, etc. Personally, I think less overall content dropped but more realistic would be valuable. Less "busywork" copying from the pdf drop files, more synthesizing small sets data and learning what tools to use for what evidence types (e.g. look up this domain or IP using this online free DNS tool).</x:v>
      </x:c>
      <x:c r="AD8" s="52" t="str">
        <x:v>Neutral</x:v>
      </x:c>
      <x:c r="AE8" s="52" t="str">
        <x:v>Agree</x:v>
      </x:c>
      <x:c r="AF8" s="52" t="str">
        <x:v>Agree</x:v>
      </x:c>
      <x:c r="AG8" s="52" t="str">
        <x:v>Agree</x:v>
      </x:c>
      <x:c r="AH8" s="52" t="str">
        <x:v>Standings feature.</x:v>
      </x:c>
      <x:c r="AI8" s="52" t="str"/>
      <x:c r="AJ8" s="52" t="str">
        <x:v>Short answer collaboration on the team exercises.</x:v>
      </x:c>
    </x:row>
    <x:row r="9">
      <x:c r="A9" s="52" t="str">
        <x:v>ANON-005</x:v>
      </x:c>
      <x:c r="B9" s="52" t="str">
        <x:v>Neutral</x:v>
      </x:c>
      <x:c r="C9" s="52" t="str">
        <x:v>Neutral</x:v>
      </x:c>
      <x:c r="D9" s="52" t="str">
        <x:v>Neutral</x:v>
      </x:c>
      <x:c r="E9" s="52" t="str">
        <x:v>Neutral</x:v>
      </x:c>
      <x:c r="F9" s="52" t="str">
        <x:v>Agree</x:v>
      </x:c>
      <x:c r="G9" s="52" t="str">
        <x:v>Agree</x:v>
      </x:c>
      <x:c r="H9" s="52" t="str">
        <x:v>Agree</x:v>
      </x:c>
      <x:c r="I9" s="52" t="str">
        <x:v>Agree</x:v>
      </x:c>
      <x:c r="J9" s="52" t="str">
        <x:v>Providing students with the Tools that can be used for each step of the investigation.  Letting newer investigators know what tools are out there.</x:v>
      </x:c>
      <x:c r="K9" s="52" t="str">
        <x:v>Consider reducing the complexity of the presentation of materials and focus more on the application of the tools and the data that can be acquired and what that data can mean for your case.  Consider using real world case studies and walk through what the Agents did/didn't do and what that meant for the case.</x:v>
      </x:c>
      <x:c r="L9" s="52" t="str">
        <x:v>Neutral</x:v>
      </x:c>
      <x:c r="M9" s="52" t="str"/>
      <x:c r="N9" s="52" t="str">
        <x:v>Tools available, what/how they are used at what stage of the invesitgation.</x:v>
      </x:c>
      <x:c r="O9" s="52" t="str"/>
      <x:c r="P9" s="52" t="str">
        <x:v>Comprehensive list of tools available and tasks those tools can accomplish.</x:v>
      </x:c>
      <x:c r="Q9" s="52" t="str"/>
      <x:c r="R9" s="52" t="str">
        <x:v>Agree</x:v>
      </x:c>
      <x:c r="S9" s="52" t="str">
        <x:v>Neutral</x:v>
      </x:c>
      <x:c r="T9" s="52" t="str">
        <x:v>Agree</x:v>
      </x:c>
      <x:c r="U9" s="52" t="str">
        <x:v>Agree</x:v>
      </x:c>
      <x:c r="V9" s="52" t="str"/>
      <x:c r="W9" s="52" t="str">
        <x:v>Disagree</x:v>
      </x:c>
      <x:c r="X9" s="52" t="str">
        <x:v>Disagree</x:v>
      </x:c>
      <x:c r="Y9" s="52" t="str">
        <x:v>Disagree</x:v>
      </x:c>
      <x:c r="Z9" s="52" t="str">
        <x:v>Agree</x:v>
      </x:c>
      <x:c r="AA9" s="52" t="str">
        <x:v>Agree</x:v>
      </x:c>
      <x:c r="AB9" s="52" t="str">
        <x:v>Other (describe below)</x:v>
      </x:c>
      <x:c r="AC9" s="52" t="str">
        <x:v>Consider not trying to cram an entire case into the course and focus more on the tools used to acquire the data and what that data can tell a new cyber investigator with real world examples.  If continuing to use the current format, consider reducing the amount of information dropped so that investigators can analyze and absorb the data.</x:v>
      </x:c>
      <x:c r="AD9" s="52" t="str">
        <x:v>Disagree</x:v>
      </x:c>
      <x:c r="AE9" s="52" t="str">
        <x:v>Neutral</x:v>
      </x:c>
      <x:c r="AF9" s="52" t="str">
        <x:v>Neutral</x:v>
      </x:c>
      <x:c r="AG9" s="52" t="str">
        <x:v>Neutral</x:v>
      </x:c>
      <x:c r="AH9" s="52" t="str">
        <x:v>I looks nice</x:v>
      </x:c>
      <x:c r="AI9" s="52" t="str">
        <x:v>all of them incurred a little bit of frustration throughout the week.</x:v>
      </x:c>
      <x:c r="AJ9" s="52" t="str"/>
    </x:row>
    <x:row r="10">
      <x:c r="A10" s="52" t="str">
        <x:v>ANON-006</x:v>
      </x:c>
      <x:c r="B10" s="52" t="str">
        <x:v>Agree</x:v>
      </x:c>
      <x:c r="C10" s="52" t="str">
        <x:v>Agree</x:v>
      </x:c>
      <x:c r="D10" s="52" t="str">
        <x:v>Agree</x:v>
      </x:c>
      <x:c r="E10" s="52" t="str">
        <x:v>Agree</x:v>
      </x:c>
      <x:c r="F10" s="52" t="str">
        <x:v>Strongly agree</x:v>
      </x:c>
      <x:c r="G10" s="52" t="str">
        <x:v>Agree</x:v>
      </x:c>
      <x:c r="H10" s="52" t="str">
        <x:v>Agree</x:v>
      </x:c>
      <x:c r="I10" s="52" t="str">
        <x:v>Agree</x:v>
      </x:c>
      <x:c r="J10" s="52" t="str">
        <x:v>Some of the discussions between the class/instructors after asking questions were very helpful. It's beneficial to hear multiple perspectives and different challenges. Additionally, the hands-on demonstrations of specific tools was valuable.</x:v>
      </x:c>
      <x:c r="K10" s="52" t="str">
        <x:v>I learn best by hands-on work. While the case drops were helpful in learning to synthesize disparate data, I would have like to do some more hands on, or just instructor demonstrations, of specific tools and researching IOCs (e.g. "you have an IP, start in Domain Tools, search the domain you find from dns here", etc. etc.) Also seeing examples of what host/network forensics look like would have been helpful as well (like this is what wireshark/axiom/etc looks like).</x:v>
      </x:c>
      <x:c r="L10" s="52" t="str">
        <x:v>Agree</x:v>
      </x:c>
      <x:c r="M10" s="52" t="str">
        <x:v>Some of the case drops had extremely large amounts of documents - I know this sounds silly, but even if some of those documents were just combined into single documents (instead of one paragraph on each separate .pdf doc), I think it would have helped. It was often time consuming to review the contents, and there wasn't a lot of time to get a really good handle of some of the case data.</x:v>
      </x:c>
      <x:c r="N10" s="52" t="str">
        <x:v>Hands-on or demonstrations of how you would research IOCs, showing examples of legal process, forensic tools, etc. would be helpful.</x:v>
      </x:c>
      <x:c r="O10" s="52" t="str"/>
      <x:c r="P10" s="52" t="str"/>
      <x:c r="Q10" s="52" t="str"/>
      <x:c r="R10" s="52" t="str">
        <x:v>Agree</x:v>
      </x:c>
      <x:c r="S10" s="52" t="str">
        <x:v>Agree</x:v>
      </x:c>
      <x:c r="T10" s="52" t="str">
        <x:v>Neutral</x:v>
      </x:c>
      <x:c r="U10" s="52" t="str">
        <x:v>Agree</x:v>
      </x:c>
      <x:c r="V10" s="52" t="str"/>
      <x:c r="W10" s="52" t="str">
        <x:v>Agree</x:v>
      </x:c>
      <x:c r="X10" s="52" t="str">
        <x:v>Disagree</x:v>
      </x:c>
      <x:c r="Y10" s="52" t="str">
        <x:v>Neutral</x:v>
      </x:c>
      <x:c r="Z10" s="52" t="str">
        <x:v>Strongly agree</x:v>
      </x:c>
      <x:c r="AA10" s="52" t="str">
        <x:v>Strongly agree</x:v>
      </x:c>
      <x:c r="AB10" s="52" t="str">
        <x:v>Other (describe below)</x:v>
      </x:c>
      <x:c r="AC10" s="52" t="str">
        <x:v>I think the application is a very good idea and worked very well. I think its extremely difficult to try to simulate an investigation in a training environment with a compressed timeline, but I think the app and data worked pretty well for that. I would just suggest combining some of the documents to make them easier to digest.</x:v>
      </x:c>
      <x:c r="AD10" s="52" t="str">
        <x:v>Agree</x:v>
      </x:c>
      <x:c r="AE10" s="52" t="str">
        <x:v>Agree</x:v>
      </x:c>
      <x:c r="AF10" s="52" t="str">
        <x:v>Agree</x:v>
      </x:c>
      <x:c r="AG10" s="52" t="str">
        <x:v>Strongly agree</x:v>
      </x:c>
      <x:c r="AH10" s="52" t="str"/>
      <x:c r="AI10" s="52" t="str"/>
      <x:c r="AJ10" s="52" t="str"/>
    </x:row>
    <x:row r="11">
      <x:c r="A11" s="52" t="str">
        <x:v>ANON-007</x:v>
      </x:c>
      <x:c r="B11" s="52" t="str">
        <x:v>Strongly agree</x:v>
      </x:c>
      <x:c r="C11" s="52" t="str">
        <x:v>Strongly agree</x:v>
      </x:c>
      <x:c r="D11" s="52" t="str">
        <x:v>Disagree</x:v>
      </x:c>
      <x:c r="E11" s="52" t="str">
        <x:v>Agree</x:v>
      </x:c>
      <x:c r="F11" s="52" t="str">
        <x:v>Strongly agree</x:v>
      </x:c>
      <x:c r="G11" s="52" t="str">
        <x:v>Strongly agree</x:v>
      </x:c>
      <x:c r="H11" s="52" t="str">
        <x:v>Strongly agree</x:v>
      </x:c>
      <x:c r="I11" s="52" t="str">
        <x:v>Strongly agree</x:v>
      </x:c>
      <x:c r="J11" s="52" t="str">
        <x:v>Learning what tools are available for use in cyber investigations was incredibly helpful. Also, understanding how to identify relevant evidence and where to pivot from those leads.</x:v>
      </x:c>
      <x:c r="K11" s="52" t="str">
        <x:v>Content and delivery were good.</x:v>
      </x:c>
      <x:c r="L11" s="52" t="str">
        <x:v>Strongly agree</x:v>
      </x:c>
      <x:c r="M11" s="52" t="str"/>
      <x:c r="N11" s="52" t="str"/>
      <x:c r="O11" s="52" t="str">
        <x:v>Additional time to work through some of the group exercises. Once the breakout rooms were outfitted with additional cables they worked well.</x:v>
      </x:c>
      <x:c r="P11" s="52" t="str">
        <x:v>Information about additional trainings, updates about useful tools.</x:v>
      </x:c>
      <x:c r="Q11" s="52" t="str">
        <x:v>The instructors were all knowledgeable about their topics. The provided helpful explanations to questions asked. It may be beneficial to have a CART examiner be involved in the lecture relating to Digital Forensics.</x:v>
      </x:c>
      <x:c r="R11" s="52" t="str">
        <x:v>Disagree</x:v>
      </x:c>
      <x:c r="S11" s="52" t="str">
        <x:v>Strongly agree</x:v>
      </x:c>
      <x:c r="T11" s="52" t="str">
        <x:v>Neutral</x:v>
      </x:c>
      <x:c r="U11" s="52" t="str">
        <x:v>Strongly agree</x:v>
      </x:c>
      <x:c r="V11" s="52" t="str">
        <x:v>Additional time for working with squads would be helpful. It may be useful to break up the BITS and PACT courses and provide PACT with more time.</x:v>
      </x:c>
      <x:c r="W11" s="52" t="str">
        <x:v>Neutral</x:v>
      </x:c>
      <x:c r="X11" s="52" t="str">
        <x:v>Disagree</x:v>
      </x:c>
      <x:c r="Y11" s="52" t="str">
        <x:v>Disagree</x:v>
      </x:c>
      <x:c r="Z11" s="52" t="str">
        <x:v>Strongly agree</x:v>
      </x:c>
      <x:c r="AA11" s="52" t="str">
        <x:v>Strongly agree</x:v>
      </x:c>
      <x:c r="AB11" s="52" t="str">
        <x:v>Allow more squad or class collaboration time</x:v>
      </x:c>
      <x:c r="AC11" s="52" t="str">
        <x:v>There were a lot of technical difficulties relating to evidence drops. More time to work with squads to answer the questions would have been helpful.</x:v>
      </x:c>
      <x:c r="AD11" s="52" t="str">
        <x:v>Disagree</x:v>
      </x:c>
      <x:c r="AE11" s="52" t="str">
        <x:v>Agree</x:v>
      </x:c>
      <x:c r="AF11" s="52" t="str">
        <x:v>Agree</x:v>
      </x:c>
      <x:c r="AG11" s="52" t="str">
        <x:v>Strongly agree</x:v>
      </x:c>
      <x:c r="AH11" s="52" t="str">
        <x:v>I thought the application was overall a good tool. It was fun to use and maintained the information well. there were no issues with the automatic saving of challenge questions.</x:v>
      </x:c>
      <x:c r="AI11" s="52" t="str">
        <x:v>Evidence drops not loading.</x:v>
      </x:c>
      <x:c r="AJ11" s="52" t="str">
        <x:v>When a squad member submits a challenge, it would be helpful if other squad members could review it from their own accounts. The chat feature would be helpful when working with foreign partners, but it was not working.</x:v>
      </x:c>
    </x:row>
    <x:row r="12">
      <x:c r="A12" s="52" t="str">
        <x:v>ANON-008</x:v>
      </x:c>
      <x:c r="B12" s="52" t="str">
        <x:v>Strongly agree</x:v>
      </x:c>
      <x:c r="C12" s="52" t="str">
        <x:v>Strongly agree</x:v>
      </x:c>
      <x:c r="D12" s="52" t="str">
        <x:v>Strongly agree</x:v>
      </x:c>
      <x:c r="E12" s="52" t="str">
        <x:v>Strongly agree</x:v>
      </x:c>
      <x:c r="F12" s="52" t="str">
        <x:v>Strongly agree</x:v>
      </x:c>
      <x:c r="G12" s="52" t="str">
        <x:v>Strongly agree</x:v>
      </x:c>
      <x:c r="H12" s="52" t="str">
        <x:v>Strongly agree</x:v>
      </x:c>
      <x:c r="I12" s="52" t="str">
        <x:v>Strongly agree</x:v>
      </x:c>
      <x:c r="J12" s="52" t="str"/>
      <x:c r="K12" s="52" t="str"/>
      <x:c r="L12" s="52" t="str">
        <x:v>Strongly agree</x:v>
      </x:c>
      <x:c r="M12" s="52" t="str"/>
      <x:c r="N12" s="52" t="str"/>
      <x:c r="O12" s="52" t="str"/>
      <x:c r="P12" s="52" t="str"/>
      <x:c r="Q12" s="52" t="str"/>
      <x:c r="R12" s="52" t="str">
        <x:v>Strongly agree</x:v>
      </x:c>
      <x:c r="S12" s="52" t="str">
        <x:v>Strongly agree</x:v>
      </x:c>
      <x:c r="T12" s="52" t="str">
        <x:v>Strongly agree</x:v>
      </x:c>
      <x:c r="U12" s="52" t="str">
        <x:v>Strongly agree</x:v>
      </x:c>
      <x:c r="V12" s="52" t="str"/>
      <x:c r="W12" s="52" t="str">
        <x:v>Strongly agree</x:v>
      </x:c>
      <x:c r="X12" s="52" t="str">
        <x:v>Strongly agree</x:v>
      </x:c>
      <x:c r="Y12" s="52" t="str">
        <x:v>Strongly agree</x:v>
      </x:c>
      <x:c r="Z12" s="52" t="str">
        <x:v>Strongly agree</x:v>
      </x:c>
      <x:c r="AA12" s="52" t="str">
        <x:v>Strongly agree</x:v>
      </x:c>
      <x:c r="AB12" s="52" t="str">
        <x:v>Use fewer, larger evidence drops</x:v>
      </x:c>
      <x:c r="AC12" s="52" t="str"/>
      <x:c r="AD12" s="52" t="str">
        <x:v>Strongly agree</x:v>
      </x:c>
      <x:c r="AE12" s="52" t="str">
        <x:v>Strongly agree</x:v>
      </x:c>
      <x:c r="AF12" s="52" t="str">
        <x:v>Strongly agree</x:v>
      </x:c>
      <x:c r="AG12" s="52" t="str">
        <x:v>Strongly agree</x:v>
      </x:c>
      <x:c r="AH12" s="52" t="str"/>
      <x:c r="AI12" s="52" t="str"/>
      <x:c r="AJ12" s="52" t="str"/>
    </x:row>
    <x:row r="13">
      <x:c r="A13" s="52" t="str">
        <x:v>ANON-009</x:v>
      </x:c>
      <x:c r="B13" s="52" t="str">
        <x:v>Agree</x:v>
      </x:c>
      <x:c r="C13" s="52" t="str">
        <x:v>Strongly agree</x:v>
      </x:c>
      <x:c r="D13" s="52" t="str">
        <x:v>Agree</x:v>
      </x:c>
      <x:c r="E13" s="52" t="str">
        <x:v>Strongly agree</x:v>
      </x:c>
      <x:c r="F13" s="52" t="str">
        <x:v>Agree</x:v>
      </x:c>
      <x:c r="G13" s="52" t="str">
        <x:v>Strongly agree</x:v>
      </x:c>
      <x:c r="H13" s="52" t="str">
        <x:v>Strongly agree</x:v>
      </x:c>
      <x:c r="I13" s="52" t="str">
        <x:v>Strongly agree</x:v>
      </x:c>
      <x:c r="J13" s="52" t="str">
        <x:v>I think the app is an excellent idea and it thankful to have a centralized repository for the whole class. Thank you for building such an app. Additionally, the actual search and court day simulated real life experience which I had none of it so far.</x:v>
      </x:c>
      <x:c r="K13" s="52" t="str">
        <x:v>I would like to see more role-specific tasks throughout the training. Also individual collaboration with agents and analysts to achieve incremental goals would also beneficial where the pair would pull specific evidence and format/analyze based on the question/prompt provided.</x:v>
      </x:c>
      <x:c r="L13" s="52" t="str">
        <x:v>Strongly agree</x:v>
      </x:c>
      <x:c r="M13" s="52" t="str">
        <x:v>The legal process was/is challenging for an analyst.</x:v>
      </x:c>
      <x:c r="N13" s="52" t="str">
        <x:v>The legal process and evidence acquisition.</x:v>
      </x:c>
      <x:c r="O13" s="52" t="str">
        <x:v>CART lab and specific digital evidence extraction tools in use.</x:v>
      </x:c>
      <x:c r="P13" s="52" t="str">
        <x:v>A follow up course in 6 months.</x:v>
      </x:c>
      <x:c r="Q13" s="52" t="str"/>
      <x:c r="R13" s="52" t="str">
        <x:v>Agree</x:v>
      </x:c>
      <x:c r="S13" s="52" t="str">
        <x:v>Strongly agree</x:v>
      </x:c>
      <x:c r="T13" s="52" t="str">
        <x:v>Strongly agree</x:v>
      </x:c>
      <x:c r="U13" s="52" t="str">
        <x:v>Agree</x:v>
      </x:c>
      <x:c r="V13" s="52" t="str"/>
      <x:c r="W13" s="52" t="str">
        <x:v>Strongly agree</x:v>
      </x:c>
      <x:c r="X13" s="52" t="str">
        <x:v>Agree</x:v>
      </x:c>
      <x:c r="Y13" s="52" t="str">
        <x:v>Agree</x:v>
      </x:c>
      <x:c r="Z13" s="52" t="str">
        <x:v>Strongly agree</x:v>
      </x:c>
      <x:c r="AA13" s="52" t="str">
        <x:v>Strongly agree</x:v>
      </x:c>
      <x:c r="AB13" s="52" t="str">
        <x:v>Allow more independent investigation time</x:v>
      </x:c>
      <x:c r="AC13" s="52" t="str"/>
      <x:c r="AD13" s="52" t="str">
        <x:v>Strongly agree</x:v>
      </x:c>
      <x:c r="AE13" s="52" t="str">
        <x:v>Strongly agree</x:v>
      </x:c>
      <x:c r="AF13" s="52" t="str">
        <x:v>Agree</x:v>
      </x:c>
      <x:c r="AG13" s="52" t="str">
        <x:v>Strongly agree</x:v>
      </x:c>
      <x:c r="AH13" s="52" t="str"/>
      <x:c r="AI13" s="52" t="str"/>
      <x:c r="AJ13" s="52" t="str"/>
    </x:row>
    <x:row r="14">
      <x:c r="A14" s="52" t="str">
        <x:v>ANON-010</x:v>
      </x:c>
      <x:c r="B14" s="52" t="str">
        <x:v>Agree</x:v>
      </x:c>
      <x:c r="C14" s="52" t="str">
        <x:v>Strongly agree</x:v>
      </x:c>
      <x:c r="D14" s="52" t="str">
        <x:v>Agree</x:v>
      </x:c>
      <x:c r="E14" s="52" t="str">
        <x:v>Agree</x:v>
      </x:c>
      <x:c r="F14" s="52" t="str">
        <x:v>Strongly agree</x:v>
      </x:c>
      <x:c r="G14" s="52" t="str">
        <x:v>Strongly agree</x:v>
      </x:c>
      <x:c r="H14" s="52" t="str">
        <x:v>Agree</x:v>
      </x:c>
      <x:c r="I14" s="52" t="str">
        <x:v>Agree</x:v>
      </x:c>
      <x:c r="J14" s="52" t="str"/>
      <x:c r="K14" s="52" t="str"/>
      <x:c r="L14" s="52" t="str">
        <x:v>Strongly agree</x:v>
      </x:c>
      <x:c r="M14" s="52" t="str"/>
      <x:c r="N14" s="52" t="str"/>
      <x:c r="O14" s="52" t="str"/>
      <x:c r="P14" s="52" t="str"/>
      <x:c r="Q14" s="52" t="str"/>
      <x:c r="R14" s="52" t="str">
        <x:v>Strongly agree</x:v>
      </x:c>
      <x:c r="S14" s="52" t="str">
        <x:v>Agree</x:v>
      </x:c>
      <x:c r="T14" s="52" t="str">
        <x:v>Agree</x:v>
      </x:c>
      <x:c r="U14" s="52" t="str">
        <x:v>Agree</x:v>
      </x:c>
      <x:c r="V14" s="52" t="str"/>
      <x:c r="W14" s="52" t="str">
        <x:v>Agree</x:v>
      </x:c>
      <x:c r="X14" s="52" t="str">
        <x:v>Agree</x:v>
      </x:c>
      <x:c r="Y14" s="52" t="str">
        <x:v>Agree</x:v>
      </x:c>
      <x:c r="Z14" s="52" t="str">
        <x:v>Agree</x:v>
      </x:c>
      <x:c r="AA14" s="52" t="str">
        <x:v>Agree</x:v>
      </x:c>
      <x:c r="AB14" s="52" t="str">
        <x:v>Allow more squad or class collaboration time</x:v>
      </x:c>
      <x:c r="AC14" s="52" t="str"/>
      <x:c r="AD14" s="52" t="str">
        <x:v>Agree</x:v>
      </x:c>
      <x:c r="AE14" s="52" t="str">
        <x:v>Agree</x:v>
      </x:c>
      <x:c r="AF14" s="52" t="str">
        <x:v>Agree</x:v>
      </x:c>
      <x:c r="AG14" s="52" t="str">
        <x:v>Agree</x:v>
      </x:c>
      <x:c r="AH14" s="52" t="str"/>
      <x:c r="AI14" s="52" t="str"/>
      <x:c r="AJ14" s="52" t="str"/>
    </x:row>
    <x:row r="15">
      <x:c r="A15" s="52" t="str">
        <x:v>ANON-011</x:v>
      </x:c>
      <x:c r="B15" s="52" t="str">
        <x:v>Disagree</x:v>
      </x:c>
      <x:c r="C15" s="52" t="str">
        <x:v>Agree</x:v>
      </x:c>
      <x:c r="D15" s="52" t="str">
        <x:v>Disagree</x:v>
      </x:c>
      <x:c r="E15" s="52" t="str">
        <x:v>Disagree</x:v>
      </x:c>
      <x:c r="F15" s="52" t="str">
        <x:v>Agree</x:v>
      </x:c>
      <x:c r="G15" s="52" t="str">
        <x:v>Neutral</x:v>
      </x:c>
      <x:c r="H15" s="52" t="str">
        <x:v>Neutral</x:v>
      </x:c>
      <x:c r="I15" s="52" t="str">
        <x:v>Neutral</x:v>
      </x:c>
      <x:c r="J15" s="52" t="str">
        <x:v>Tools. I think the biggest knowledge gap for new agents/analyst in a cyber squad is understanding what tools are at our disposal and how to effectively use those tools to find artifacts and progress the investigation</x:v>
      </x:c>
      <x:c r="K15" s="52" t="str">
        <x:v>Half the the drops/documents and simplify the artifacts of the intrusion. The course has a great foundation but the amount of data we were required to sift through is unrealistic for the 5 days we have. Squads break out sessions for the challenges were focused on finding/typing the right answer not learning how to conduct a cyber investigation. Simplify the case to half the information and provide squads a 2-3 source IP and the artifacts of a victim compromise. Then use the tools taught to actually move the case forward.</x:v>
      </x:c>
      <x:c r="L15" s="52" t="str">
        <x:v>Agree</x:v>
      </x:c>
      <x:c r="M15" s="52" t="str"/>
      <x:c r="N15" s="52" t="str">
        <x:v>Tools and where we should be looking to find artifacts in a victim's network and what type of tools we should use and what they will provide. We are all trained investigators who know how to run a investigation the knowledge gap is where to look and what to ask victims in a cyber case.</x:v>
      </x:c>
      <x:c r="O15" s="52" t="str"/>
      <x:c r="P15" s="52" t="str"/>
      <x:c r="Q15" s="52" t="str"/>
      <x:c r="R15" s="52" t="str">
        <x:v>Strongly agree</x:v>
      </x:c>
      <x:c r="S15" s="52" t="str">
        <x:v>Agree</x:v>
      </x:c>
      <x:c r="T15" s="52" t="str">
        <x:v>Neutral</x:v>
      </x:c>
      <x:c r="U15" s="52" t="str">
        <x:v>Agree</x:v>
      </x:c>
      <x:c r="V15" s="52" t="str"/>
      <x:c r="W15" s="52" t="str">
        <x:v>Neutral</x:v>
      </x:c>
      <x:c r="X15" s="52" t="str">
        <x:v>Strongly disagree</x:v>
      </x:c>
      <x:c r="Y15" s="52" t="str">
        <x:v>Disagree</x:v>
      </x:c>
      <x:c r="Z15" s="52" t="str">
        <x:v>Disagree</x:v>
      </x:c>
      <x:c r="AA15" s="52" t="str">
        <x:v>Agree</x:v>
      </x:c>
      <x:c r="AB15" s="52" t="str">
        <x:v>Use fewer, larger evidence drops</x:v>
      </x:c>
      <x:c r="AC15" s="52" t="str">
        <x:v>Simplify the evidence drops and content, way too much for a 5 day course.</x:v>
      </x:c>
      <x:c r="AD15" s="52" t="str">
        <x:v>Neutral</x:v>
      </x:c>
      <x:c r="AE15" s="52" t="str">
        <x:v>Neutral</x:v>
      </x:c>
      <x:c r="AF15" s="52" t="str">
        <x:v>Neutral</x:v>
      </x:c>
      <x:c r="AG15" s="52" t="str">
        <x:v>Agree</x:v>
      </x:c>
      <x:c r="AH15" s="52" t="str">
        <x:v>The PACT.cetu platform was cool and a great idea, I enjoyed it. It does need to be updated to fix some of the glitches but overall it was good.</x:v>
      </x:c>
      <x:c r="AI15" s="52" t="str">
        <x:v>drops kept re appearing over and over. No collaboration on the challenges, we could only have one squad member in filling it out at a time.</x:v>
      </x:c>
      <x:c r="AJ15" s="52" t="str"/>
    </x:row>
    <x:row r="16">
      <x:c r="A16" s="52" t="str">
        <x:v>ANON-012</x:v>
      </x:c>
      <x:c r="B16" s="52" t="str">
        <x:v>Strongly agree</x:v>
      </x:c>
      <x:c r="C16" s="52" t="str">
        <x:v>Strongly agree</x:v>
      </x:c>
      <x:c r="D16" s="52" t="str">
        <x:v>Strongly agree</x:v>
      </x:c>
      <x:c r="E16" s="52" t="str">
        <x:v>Strongly agree</x:v>
      </x:c>
      <x:c r="F16" s="52" t="str">
        <x:v>Strongly agree</x:v>
      </x:c>
      <x:c r="G16" s="52" t="str">
        <x:v>Strongly agree</x:v>
      </x:c>
      <x:c r="H16" s="52" t="str">
        <x:v>Strongly agree</x:v>
      </x:c>
      <x:c r="I16" s="52" t="str">
        <x:v>Strongly agree</x:v>
      </x:c>
      <x:c r="J16" s="52" t="str">
        <x:v>The presentations - I didn't have a cyber background, so this course provided me with the networking/computer science basics.</x:v>
      </x:c>
      <x:c r="K16" s="52" t="str">
        <x:v>We didn't have very much time to prepare for the moot court and only had data analysts testify. I would like to have seen a more experienced agent testify since that's something I haven't done. Nevertheless, I was grateful to have seen what that grand jury testimony would look like.
The hiccups with the website made it difficult to track how I was actually performing. Even now, I can't tell which assessments I might not have filled out.</x:v>
      </x:c>
      <x:c r="L16" s="52" t="str">
        <x:v>Strongly agree</x:v>
      </x:c>
      <x:c r="M16" s="52" t="str">
        <x:v>Going through the group challenges - this required me to think about what was actually in the data.</x:v>
      </x:c>
      <x:c r="N16" s="52" t="str">
        <x:v>Moot court/testifying both in trial and before a grand jury.</x:v>
      </x:c>
      <x:c r="O16" s="52" t="str">
        <x:v>A handout with the lists of tools we use for investigations. We discussed these, but I was frantically taking notes and might have missed some details.</x:v>
      </x:c>
      <x:c r="P16" s="52" t="str">
        <x:v>Handouts of the recommended tools!</x:v>
      </x:c>
      <x:c r="Q16" s="52" t="str">
        <x:v>I enjoyed the instruction and instructors. I felt it was well paced and at an appropriate technical level for beginners. I would definitely recommend this to all agents, even if they don't work cyber. 
For the PACT website, I would recommend that there be some indication of which challenges still need to be completed. Where some were group projects, I still can't tell which assessments I missed in the long list.</x:v>
      </x:c>
      <x:c r="R16" s="52" t="str">
        <x:v>Strongly agree</x:v>
      </x:c>
      <x:c r="S16" s="52" t="str">
        <x:v>Strongly agree</x:v>
      </x:c>
      <x:c r="T16" s="52" t="str">
        <x:v>Strongly agree</x:v>
      </x:c>
      <x:c r="U16" s="52" t="str">
        <x:v>Strongly agree</x:v>
      </x:c>
      <x:c r="V16" s="52" t="str"/>
      <x:c r="W16" s="52" t="str">
        <x:v>Strongly agree</x:v>
      </x:c>
      <x:c r="X16" s="52" t="str">
        <x:v>Neutral</x:v>
      </x:c>
      <x:c r="Y16" s="52" t="str">
        <x:v>Strongly agree</x:v>
      </x:c>
      <x:c r="Z16" s="52" t="str">
        <x:v>Strongly agree</x:v>
      </x:c>
      <x:c r="AA16" s="52" t="str">
        <x:v>Strongly agree</x:v>
      </x:c>
      <x:c r="AB16" s="52" t="str">
        <x:v>Keep the format as it is</x:v>
      </x:c>
      <x:c r="AC16" s="52" t="str">
        <x:v>I wish I had a little more time to review the huge evidence drop before answering the group challenge questions. We were kind of frantically answering those.</x:v>
      </x:c>
      <x:c r="AD16" s="52" t="str">
        <x:v>Strongly disagree</x:v>
      </x:c>
      <x:c r="AE16" s="52" t="str">
        <x:v>Disagree</x:v>
      </x:c>
      <x:c r="AF16" s="52" t="str">
        <x:v>Agree</x:v>
      </x:c>
      <x:c r="AG16" s="52" t="str">
        <x:v>Strongly agree</x:v>
      </x:c>
      <x:c r="AH16" s="52" t="str">
        <x:v>The application gave a really unique feel to the class. I really enjoyed using it as a tool, even with the hiccups.</x:v>
      </x:c>
      <x:c r="AI16" s="52" t="str">
        <x:v>Not knowing what I still needed to complete - the rankings didn't make any sense since I didn't know how I was being credited. It seemed like some individuals were randomly jumping ahead in the rankings when I scored a 100 on a quiz.</x:v>
      </x:c>
      <x:c r="AJ16" s="52" t="str">
        <x:v>Helping us know what assessments we've completed as a group/individually. I just couldn't tell which challenges from the list needed to be completed.</x:v>
      </x:c>
    </x:row>
    <x:row r="17">
      <x:c r="A17" s="52" t="str">
        <x:v>ANON-013</x:v>
      </x:c>
      <x:c r="B17" s="52" t="str">
        <x:v>Strongly agree</x:v>
      </x:c>
      <x:c r="C17" s="52" t="str">
        <x:v>Strongly agree</x:v>
      </x:c>
      <x:c r="D17" s="52" t="str">
        <x:v>Strongly agree</x:v>
      </x:c>
      <x:c r="E17" s="52" t="str">
        <x:v>Strongly agree</x:v>
      </x:c>
      <x:c r="F17" s="52" t="str">
        <x:v>Strongly agree</x:v>
      </x:c>
      <x:c r="G17" s="52" t="str">
        <x:v>Strongly agree</x:v>
      </x:c>
      <x:c r="H17" s="52" t="str">
        <x:v>Strongly agree</x:v>
      </x:c>
      <x:c r="I17" s="52" t="str">
        <x:v>Strongly agree</x:v>
      </x:c>
      <x:c r="J17" s="52" t="str">
        <x:v>As a foreign partner, the most valuable part of the course was understanding the legal frameworks and how FBI cyber investigations run</x:v>
      </x:c>
      <x:c r="K17" s="52" t="str"/>
      <x:c r="L17" s="52" t="str">
        <x:v>Strongly agree</x:v>
      </x:c>
      <x:c r="M17" s="52" t="str"/>
      <x:c r="N17" s="52" t="str"/>
      <x:c r="O17" s="52" t="str"/>
      <x:c r="P17" s="52" t="str"/>
      <x:c r="Q17" s="52" t="str"/>
      <x:c r="R17" s="52" t="str">
        <x:v>Strongly agree</x:v>
      </x:c>
      <x:c r="S17" s="52" t="str">
        <x:v>Agree</x:v>
      </x:c>
      <x:c r="T17" s="52" t="str">
        <x:v>Strongly agree</x:v>
      </x:c>
      <x:c r="U17" s="52" t="str">
        <x:v>Strongly agree</x:v>
      </x:c>
      <x:c r="V17" s="52" t="str"/>
      <x:c r="W17" s="52" t="str">
        <x:v>Agree</x:v>
      </x:c>
      <x:c r="X17" s="52" t="str">
        <x:v>Neutral</x:v>
      </x:c>
      <x:c r="Y17" s="52" t="str">
        <x:v>Neutral</x:v>
      </x:c>
      <x:c r="Z17" s="52" t="str">
        <x:v>Strongly agree</x:v>
      </x:c>
      <x:c r="AA17" s="52" t="str">
        <x:v>Strongly agree</x:v>
      </x:c>
      <x:c r="AB17" s="52" t="str">
        <x:v>Use smaller, more frequent evidence drops</x:v>
      </x:c>
      <x:c r="AC17" s="52" t="str">
        <x:v>Smaller drops would've allowed for more discussion. I found my squad divided questions to be time efficient and therefore collaborated less</x:v>
      </x:c>
      <x:c r="AD17" s="52" t="str">
        <x:v>Neutral</x:v>
      </x:c>
      <x:c r="AE17" s="52" t="str">
        <x:v>Agree</x:v>
      </x:c>
      <x:c r="AF17" s="52" t="str">
        <x:v>Neutral</x:v>
      </x:c>
      <x:c r="AG17" s="52" t="str">
        <x:v>Agree</x:v>
      </x:c>
      <x:c r="AH17" s="52" t="str"/>
      <x:c r="AI17" s="52" t="str"/>
      <x:c r="AJ17" s="52" t="str"/>
    </x:row>
    <x:row r="18">
      <x:c r="A18" s="52" t="str">
        <x:v>ANON-014</x:v>
      </x:c>
      <x:c r="B18" s="52" t="str">
        <x:v>Agree</x:v>
      </x:c>
      <x:c r="C18" s="52" t="str">
        <x:v>Agree</x:v>
      </x:c>
      <x:c r="D18" s="52" t="str">
        <x:v>Neutral</x:v>
      </x:c>
      <x:c r="E18" s="52" t="str">
        <x:v>Agree</x:v>
      </x:c>
      <x:c r="F18" s="52" t="str">
        <x:v>Agree</x:v>
      </x:c>
      <x:c r="G18" s="52" t="str">
        <x:v>Agree</x:v>
      </x:c>
      <x:c r="H18" s="52" t="str">
        <x:v>Agree</x:v>
      </x:c>
      <x:c r="I18" s="52" t="str">
        <x:v>Agree</x:v>
      </x:c>
      <x:c r="J18" s="52" t="str">
        <x:v>working with individuals from different job roles to accomplish a shared goal, sharing information, etc.</x:v>
      </x:c>
      <x:c r="K18" s="52" t="str">
        <x:v>Less open ended repetitive squad questions, for the pacu site, maybe instead of typing these over and over, give the option to request from a list, and either return or not the relevant legal returns or information.  It felt disjoined and like we didn't know if/when data was actually returned.  I understand that sometimes you don't get returns and it makes sense to not always give it immediately but there was a disconnect.</x:v>
      </x:c>
      <x:c r="L18" s="52" t="str">
        <x:v>Strongly agree</x:v>
      </x:c>
      <x:c r="M18" s="52" t="str"/>
      <x:c r="N18" s="52" t="str"/>
      <x:c r="O18" s="52" t="str"/>
      <x:c r="P18" s="52" t="str"/>
      <x:c r="Q18" s="52" t="str">
        <x:v>As a DA, I like that there was a DA role included.  The tasks assigned didn't feel like a true DA tasking, but also the time required to complete the task took away from working together with the squad.  I think you could implement a single longer term tasking that DAs could work over a couple of days with an end product (logs, etc).</x:v>
      </x:c>
      <x:c r="R18" s="52" t="str">
        <x:v>Agree</x:v>
      </x:c>
      <x:c r="S18" s="52" t="str">
        <x:v>Agree</x:v>
      </x:c>
      <x:c r="T18" s="52" t="str">
        <x:v>Agree</x:v>
      </x:c>
      <x:c r="U18" s="52" t="str">
        <x:v>Agree</x:v>
      </x:c>
      <x:c r="V18" s="52" t="str">
        <x:v>The network drops in the breakout rooms were necessary from the start.  Get the issue with laptops pulled from docks not reconnecting immediately worked out.  Provide mice for use in the breakout room as the touchpad is painful to copy/paste data with for data analysis.</x:v>
      </x:c>
      <x:c r="W18" s="52" t="str">
        <x:v>Neutral</x:v>
      </x:c>
      <x:c r="X18" s="52" t="str">
        <x:v>Neutral</x:v>
      </x:c>
      <x:c r="Y18" s="52" t="str">
        <x:v>Agree</x:v>
      </x:c>
      <x:c r="Z18" s="52" t="str">
        <x:v>Strongly agree</x:v>
      </x:c>
      <x:c r="AA18" s="52" t="str">
        <x:v>Neutral</x:v>
      </x:c>
      <x:c r="AB18" s="52" t="str">
        <x:v>Use smaller, more frequent evidence drops</x:v>
      </x:c>
      <x:c r="AC18" s="52" t="str">
        <x:v>Always include the download all zip file, it is two clunky moving around within the system, better yet, give a way to search or dump all the PDFs into a single searchable source.</x:v>
      </x:c>
      <x:c r="AD18" s="52" t="str">
        <x:v>Neutral</x:v>
      </x:c>
      <x:c r="AE18" s="52" t="str">
        <x:v>Agree</x:v>
      </x:c>
      <x:c r="AF18" s="52" t="str">
        <x:v>Agree</x:v>
      </x:c>
      <x:c r="AG18" s="52" t="str">
        <x:v>Agree</x:v>
      </x:c>
      <x:c r="AH18" s="52" t="str">
        <x:v>It made it interesting and provided a place to work from</x:v>
      </x:c>
      <x:c r="AI18" s="52" t="str">
        <x:v>The app movement is distracting, continual requests to sign back in,</x:v>
      </x:c>
      <x:c r="AJ18" s="52" t="str">
        <x:v>It had some issues throughout the course causing downtime, I know it happens but should be minimized.</x:v>
      </x:c>
    </x:row>
    <x:row r="19">
      <x:c r="A19" s="52" t="str">
        <x:v>ANON-015</x:v>
      </x:c>
      <x:c r="B19" s="52" t="str">
        <x:v>Agree</x:v>
      </x:c>
      <x:c r="C19" s="52" t="str">
        <x:v>Neutral</x:v>
      </x:c>
      <x:c r="D19" s="52" t="str">
        <x:v>Disagree</x:v>
      </x:c>
      <x:c r="E19" s="52" t="str">
        <x:v>Disagree</x:v>
      </x:c>
      <x:c r="F19" s="52" t="str">
        <x:v>Agree</x:v>
      </x:c>
      <x:c r="G19" s="52" t="str">
        <x:v>Agree</x:v>
      </x:c>
      <x:c r="H19" s="52" t="str">
        <x:v>Agree</x:v>
      </x:c>
      <x:c r="I19" s="52" t="str">
        <x:v>Agree</x:v>
      </x:c>
      <x:c r="J19" s="52" t="str"/>
      <x:c r="K19" s="52" t="str">
        <x:v>Needed more time to read injects before challenges. Due to limited time, we searched documents only for the answers needed rather than trying to understand the scenario. Additionally, basic instruction on search procedures would've been beneficial as many were unfamiliar and once on scene floundered. There were also overlaps in some of the material between the first week's instruction and the second week's, in particular on the first day.</x:v>
      </x:c>
      <x:c r="L19" s="52" t="str">
        <x:v>Agree</x:v>
      </x:c>
      <x:c r="M19" s="52" t="str"/>
      <x:c r="N19" s="52" t="str"/>
      <x:c r="O19" s="52" t="str">
        <x:v>I appreciate when there are instructors from varying job series rather than all agents.</x:v>
      </x:c>
      <x:c r="P19" s="52" t="str"/>
      <x:c r="Q19" s="52" t="str">
        <x:v>Shorter lunches. The break time for lunch was too long.</x:v>
      </x:c>
      <x:c r="R19" s="52" t="str">
        <x:v>Neutral</x:v>
      </x:c>
      <x:c r="S19" s="52" t="str">
        <x:v>Agree</x:v>
      </x:c>
      <x:c r="T19" s="52" t="str">
        <x:v>Agree</x:v>
      </x:c>
      <x:c r="U19" s="52" t="str">
        <x:v>Strongly agree</x:v>
      </x:c>
      <x:c r="V19" s="52" t="str">
        <x:v>Workload was manageable but only because the number of drops/assignments was reduced. I think it would've been difficult to do the originally anticipated amount.</x:v>
      </x:c>
      <x:c r="W19" s="52" t="str">
        <x:v>Strongly agree</x:v>
      </x:c>
      <x:c r="X19" s="52" t="str">
        <x:v>Disagree</x:v>
      </x:c>
      <x:c r="Y19" s="52" t="str">
        <x:v>Disagree</x:v>
      </x:c>
      <x:c r="Z19" s="52" t="str">
        <x:v>Strongly agree</x:v>
      </x:c>
      <x:c r="AA19" s="52" t="str">
        <x:v>Agree</x:v>
      </x:c>
      <x:c r="AB19" s="52" t="str">
        <x:v>Allow more squad or class collaboration time</x:v>
      </x:c>
      <x:c r="AC19" s="52" t="str">
        <x:v>With regards to individual vs squad collaboration, for those in job series which weren't an agent, there was a disadvantage to the individual assignments since those who were agents could still bounce ideas around amongst themselves. The amount of files in the drops was too much for the time given. I would either reduce the number of files or increase the time to review them.</x:v>
      </x:c>
      <x:c r="AD19" s="52" t="str">
        <x:v>Disagree</x:v>
      </x:c>
      <x:c r="AE19" s="52" t="str">
        <x:v>Agree</x:v>
      </x:c>
      <x:c r="AF19" s="52" t="str">
        <x:v>Neutral</x:v>
      </x:c>
      <x:c r="AG19" s="52" t="str">
        <x:v>Agree</x:v>
      </x:c>
      <x:c r="AH19" s="52" t="str">
        <x:v>The layout/theme.</x:v>
      </x:c>
      <x:c r="AI19" s="52" t="str">
        <x:v>Originally having to download each file individually (this was fixed!) It would also be nice to add a color change after click option for the downloaded files to keep track of what you've already downloaded versus still need to. The standings was also wonky with how the scores were calculated.</x:v>
      </x:c>
      <x:c r="AJ19" s="52" t="str"/>
    </x:row>
    <x:row r="20">
      <x:c r="A20" s="52" t="str">
        <x:v>ANON-016</x:v>
      </x:c>
      <x:c r="B20" s="52" t="str">
        <x:v>Agree</x:v>
      </x:c>
      <x:c r="C20" s="52" t="str">
        <x:v>Agree</x:v>
      </x:c>
      <x:c r="D20" s="52" t="str">
        <x:v>Disagree</x:v>
      </x:c>
      <x:c r="E20" s="52" t="str">
        <x:v>Agree</x:v>
      </x:c>
      <x:c r="F20" s="52" t="str">
        <x:v>Agree</x:v>
      </x:c>
      <x:c r="G20" s="52" t="str">
        <x:v>Agree</x:v>
      </x:c>
      <x:c r="H20" s="52" t="str">
        <x:v>Agree</x:v>
      </x:c>
      <x:c r="I20" s="52" t="str">
        <x:v>Agree</x:v>
      </x:c>
      <x:c r="J20" s="52" t="str">
        <x:v>Gaining a better understanding of the types of evidence that exist in cyber cases, as well as a prioritization of steps involved in a typical cyber investigation.</x:v>
      </x:c>
      <x:c r="K20" s="52" t="str">
        <x:v>The pacing is a little quick. This course alone should probably be two weeks, even if that requires separating it from the BITS one-week course. Spending a little more time in the KCR, with perhaps some more hands-on coaching prior to the student practical would be beneficial. The content delivery platform is a work-in-progress, but I think it adds value and should continue to be iteratively improved.</x:v>
      </x:c>
      <x:c r="L20" s="52" t="str">
        <x:v>Agree</x:v>
      </x:c>
      <x:c r="M20" s="52" t="str"/>
      <x:c r="N20" s="52" t="str"/>
      <x:c r="O20" s="52" t="str">
        <x:v>Packing up some tool tips, best practices, and process maps into 1-pager/slick sheets could be beneficial.</x:v>
      </x:c>
      <x:c r="P20" s="52" t="str">
        <x:v>Maybe this already exists, but a central reach-back location (SharePoint, etc.) for resources that were used/discussed during this particular course (slides, etc.).</x:v>
      </x:c>
      <x:c r="Q20" s="52" t="str">
        <x:v>Keep working on the content delivery platform, I think it's a much more engaging way to get through stuff like this and even though it had its issues it still seemed to keep everyone more motivated and connected to the training than other platforms/methods I've seen in the past.</x:v>
      </x:c>
      <x:c r="R20" s="52" t="str">
        <x:v>Strongly agree</x:v>
      </x:c>
      <x:c r="S20" s="52" t="str">
        <x:v>Strongly agree</x:v>
      </x:c>
      <x:c r="T20" s="52" t="str">
        <x:v>Agree</x:v>
      </x:c>
      <x:c r="U20" s="52" t="str">
        <x:v>Strongly agree</x:v>
      </x:c>
      <x:c r="V20" s="52" t="str"/>
      <x:c r="W20" s="52" t="str">
        <x:v>Agree</x:v>
      </x:c>
      <x:c r="X20" s="52" t="str">
        <x:v>Agree</x:v>
      </x:c>
      <x:c r="Y20" s="52" t="str">
        <x:v>Agree</x:v>
      </x:c>
      <x:c r="Z20" s="52" t="str">
        <x:v>Strongly agree</x:v>
      </x:c>
      <x:c r="AA20" s="52" t="str">
        <x:v>Agree</x:v>
      </x:c>
      <x:c r="AB20" s="52" t="str">
        <x:v>Allow more independent investigation time</x:v>
      </x:c>
      <x:c r="AC20" s="52" t="str"/>
      <x:c r="AD20" s="52" t="str">
        <x:v>Neutral</x:v>
      </x:c>
      <x:c r="AE20" s="52" t="str">
        <x:v>Agree</x:v>
      </x:c>
      <x:c r="AF20" s="52" t="str">
        <x:v>Neutral</x:v>
      </x:c>
      <x:c r="AG20" s="52" t="str">
        <x:v>Agree</x:v>
      </x:c>
      <x:c r="AH20" s="52" t="str">
        <x:v>It feels more engaging, and discourages people from peeking ahead and then otherwise tuning out future blocks of instruction.</x:v>
      </x:c>
      <x:c r="AI20" s="52" t="str">
        <x:v>Some of the text entry question blocks would frequently remove text. Some of the scoring/standings updates were delayed or inaccurate at times, which reduced some of the motivation to compete.</x:v>
      </x:c>
      <x:c r="AJ20" s="52" t="str">
        <x:v>Ensure all the dropped files can be easily/quickly downloaded. Most teammates were downloading, merging, searching the documents in an external application, rather than viewing them in the browser. Test functionality of all text entry fields, and check questions for accuracy.</x:v>
      </x:c>
    </x:row>
    <x:row r="21">
      <x:c r="A21" s="52" t="str">
        <x:v>ANON-017</x:v>
      </x:c>
      <x:c r="B21" s="52" t="str">
        <x:v>Agree</x:v>
      </x:c>
      <x:c r="C21" s="52" t="str">
        <x:v>Neutral</x:v>
      </x:c>
      <x:c r="D21" s="52" t="str">
        <x:v>Disagree</x:v>
      </x:c>
      <x:c r="E21" s="52" t="str">
        <x:v>Neutral</x:v>
      </x:c>
      <x:c r="F21" s="52" t="str">
        <x:v>Agree</x:v>
      </x:c>
      <x:c r="G21" s="52" t="str">
        <x:v>Agree</x:v>
      </x:c>
      <x:c r="H21" s="52" t="str">
        <x:v>Neutral</x:v>
      </x:c>
      <x:c r="I21" s="52" t="str">
        <x:v>Neutral</x:v>
      </x:c>
      <x:c r="J21" s="52" t="str"/>
      <x:c r="K21" s="52" t="str"/>
      <x:c r="L21" s="52" t="str">
        <x:v>Neutral</x:v>
      </x:c>
      <x:c r="M21" s="52" t="str"/>
      <x:c r="N21" s="52" t="str"/>
      <x:c r="O21" s="52" t="str"/>
      <x:c r="P21" s="52" t="str"/>
      <x:c r="Q21" s="52" t="str"/>
      <x:c r="R21" s="52" t="str">
        <x:v>Neutral</x:v>
      </x:c>
      <x:c r="S21" s="52" t="str">
        <x:v>Neutral</x:v>
      </x:c>
      <x:c r="T21" s="52" t="str">
        <x:v>Neutral</x:v>
      </x:c>
      <x:c r="U21" s="52" t="str">
        <x:v>Neutral</x:v>
      </x:c>
      <x:c r="V21" s="52" t="str"/>
      <x:c r="W21" s="52" t="str">
        <x:v>Neutral</x:v>
      </x:c>
      <x:c r="X21" s="52" t="str">
        <x:v>Neutral</x:v>
      </x:c>
      <x:c r="Y21" s="52" t="str">
        <x:v>Neutral</x:v>
      </x:c>
      <x:c r="Z21" s="52" t="str">
        <x:v>Neutral</x:v>
      </x:c>
      <x:c r="AA21" s="52" t="str">
        <x:v>Neutral</x:v>
      </x:c>
      <x:c r="AB21" s="52" t="str">
        <x:v>Provide more briefing before each evidence drop</x:v>
      </x:c>
      <x:c r="AC21" s="52" t="str"/>
      <x:c r="AD21" s="52" t="str">
        <x:v>Neutral</x:v>
      </x:c>
      <x:c r="AE21" s="52" t="str">
        <x:v>Neutral</x:v>
      </x:c>
      <x:c r="AF21" s="52" t="str">
        <x:v>Neutral</x:v>
      </x:c>
      <x:c r="AG21" s="52" t="str">
        <x:v>Neutral</x:v>
      </x:c>
      <x:c r="AH21" s="52" t="str"/>
      <x:c r="AI21" s="52" t="str"/>
      <x:c r="AJ21" s="52" t="str"/>
    </x:row>
    <x:row r="22">
      <x:c r="A22" s="52" t="str">
        <x:v>ANON-018</x:v>
      </x:c>
      <x:c r="B22" s="52" t="str">
        <x:v>Disagree</x:v>
      </x:c>
      <x:c r="C22" s="52" t="str">
        <x:v>Agree</x:v>
      </x:c>
      <x:c r="D22" s="52" t="str">
        <x:v>Neutral</x:v>
      </x:c>
      <x:c r="E22" s="52" t="str">
        <x:v>Disagree</x:v>
      </x:c>
      <x:c r="F22" s="52" t="str">
        <x:v>Agree</x:v>
      </x:c>
      <x:c r="G22" s="52" t="str">
        <x:v>Agree</x:v>
      </x:c>
      <x:c r="H22" s="52" t="str">
        <x:v>Agree</x:v>
      </x:c>
      <x:c r="I22" s="52" t="str">
        <x:v>Strongly agree</x:v>
      </x:c>
      <x:c r="J22" s="52" t="str">
        <x:v>the hands-on exercises + search + testifying.</x:v>
      </x:c>
      <x:c r="K22" s="52" t="str">
        <x:v>It would be really cool to make the challenges like a CTF instead of essay questions.  It felt rushed and like we were using ctrl + f instead of really learning what was going on.  And if we could have spent more time on the search and making sure everyone was on the same page, and then going over the evidence in class and building the case.  I would have also loved to have seen different tasks for the data analyst role instead of "build a table".  As a data analyst, also, I felt very unsure what we were supposed to be doing/how we were supposed to be doing the search.  Maybe if we could have searched either more places, or had less people in each place, it would have been more engaging.  Instead, there were lots of people that felt in the way or couldnt get in and do things.  Unfortunately the web app was having some issues too.  I just think all the drops in the same format was a lot of reading and typing and really draining.  Also, the internet issues sucked.</x:v>
      </x:c>
      <x:c r="L22" s="52" t="str">
        <x:v>Agree</x:v>
      </x:c>
      <x:c r="M22" s="52" t="str">
        <x:v>legal, attribution, att&amp;ck mapping</x:v>
      </x:c>
      <x:c r="N22" s="52" t="str">
        <x:v>investigative toolbox, position roles on squad</x:v>
      </x:c>
      <x:c r="O22" s="52" t="str">
        <x:v>a different hands-on format</x:v>
      </x:c>
      <x:c r="P22" s="52" t="str">
        <x:v>unsure what this means</x:v>
      </x:c>
      <x:c r="Q22" s="52" t="str">
        <x:v>thank you!</x:v>
      </x:c>
      <x:c r="R22" s="52" t="str">
        <x:v>Neutral</x:v>
      </x:c>
      <x:c r="S22" s="52" t="str">
        <x:v>Neutral</x:v>
      </x:c>
      <x:c r="T22" s="52" t="str">
        <x:v>Neutral</x:v>
      </x:c>
      <x:c r="U22" s="52" t="str">
        <x:v>Neutral</x:v>
      </x:c>
      <x:c r="V22" s="52" t="str">
        <x:v>didnt feel like i had enough time to do the open-ended questions, felt rushed, internet issues</x:v>
      </x:c>
      <x:c r="W22" s="52" t="str">
        <x:v>Disagree</x:v>
      </x:c>
      <x:c r="X22" s="52" t="str">
        <x:v>Disagree</x:v>
      </x:c>
      <x:c r="Y22" s="52" t="str">
        <x:v>Strongly disagree</x:v>
      </x:c>
      <x:c r="Z22" s="52" t="str">
        <x:v>Disagree</x:v>
      </x:c>
      <x:c r="AA22" s="52" t="str">
        <x:v>Strongly disagree</x:v>
      </x:c>
      <x:c r="AB22" s="52" t="str">
        <x:v>Use smaller, more frequent evidence drops</x:v>
      </x:c>
      <x:c r="AC22" s="52" t="str">
        <x:v>change to a CTF, allow more time to read and respond, allow for individual investigation.  I wasnt understanding what was actaully going on in the case and how we were coming to conclusions.  we were just trying to find the answers for questions without looking at how all the answers connected.  the multiple choice was kind of helpful - i wish maybe some questions were more over-all concept questions rather than specific things you need to search for</x:v>
      </x:c>
      <x:c r="AD22" s="52" t="str">
        <x:v>Disagree</x:v>
      </x:c>
      <x:c r="AE22" s="52" t="str">
        <x:v>Agree</x:v>
      </x:c>
      <x:c r="AF22" s="52" t="str">
        <x:v>Disagree</x:v>
      </x:c>
      <x:c r="AG22" s="52" t="str">
        <x:v>Neutral</x:v>
      </x:c>
      <x:c r="AH22" s="52" t="str"/>
      <x:c r="AI22" s="52" t="str">
        <x:v>no download-all button at the beginning</x:v>
      </x:c>
      <x:c r="AJ22" s="52" t="str">
        <x:v>flashing screen is jarring, organizing the files better maybe</x:v>
      </x:c>
    </x:row>
    <x:row r="23">
      <x:c r="A23" s="52" t="str">
        <x:v>ANON-019</x:v>
      </x:c>
      <x:c r="B23" s="52" t="str">
        <x:v>Agree</x:v>
      </x:c>
      <x:c r="C23" s="52" t="str">
        <x:v>Neutral</x:v>
      </x:c>
      <x:c r="D23" s="52" t="str">
        <x:v>Disagree</x:v>
      </x:c>
      <x:c r="E23" s="52" t="str">
        <x:v>Agree</x:v>
      </x:c>
      <x:c r="F23" s="52" t="str">
        <x:v>Agree</x:v>
      </x:c>
      <x:c r="G23" s="52" t="str">
        <x:v>Agree</x:v>
      </x:c>
      <x:c r="H23" s="52" t="str">
        <x:v>Disagree</x:v>
      </x:c>
      <x:c r="I23" s="52" t="str">
        <x:v>Agree</x:v>
      </x:c>
      <x:c r="J23" s="52" t="str">
        <x:v>The hands-on approach to learning. I enjoyed George's teaching method.</x:v>
      </x:c>
      <x:c r="K23" s="52" t="str">
        <x:v>I needed more time to learn about the details of the case. I experienced technical difficulties that put me behind in my reading.</x:v>
      </x:c>
      <x:c r="L23" s="52" t="str">
        <x:v>Agree</x:v>
      </x:c>
      <x:c r="M23" s="52" t="str">
        <x:v>the case</x:v>
      </x:c>
      <x:c r="N23" s="52" t="str"/>
      <x:c r="O23" s="52" t="str"/>
      <x:c r="P23" s="52" t="str"/>
      <x:c r="Q23" s="52" t="str"/>
      <x:c r="R23" s="52" t="str">
        <x:v>Neutral</x:v>
      </x:c>
      <x:c r="S23" s="52" t="str">
        <x:v>Neutral</x:v>
      </x:c>
      <x:c r="T23" s="52" t="str">
        <x:v>Disagree</x:v>
      </x:c>
      <x:c r="U23" s="52" t="str">
        <x:v>Agree</x:v>
      </x:c>
      <x:c r="V23" s="52" t="str"/>
      <x:c r="W23" s="52" t="str">
        <x:v>Agree</x:v>
      </x:c>
      <x:c r="X23" s="52" t="str">
        <x:v>Disagree</x:v>
      </x:c>
      <x:c r="Y23" s="52" t="str">
        <x:v>Disagree</x:v>
      </x:c>
      <x:c r="Z23" s="52" t="str">
        <x:v>Agree</x:v>
      </x:c>
      <x:c r="AA23" s="52" t="str">
        <x:v>Agree</x:v>
      </x:c>
      <x:c r="AB23" s="52" t="str">
        <x:v>Provide more briefing before each evidence drop</x:v>
      </x:c>
      <x:c r="AC23" s="52" t="str">
        <x:v>The addition to download all was really helpful.</x:v>
      </x:c>
      <x:c r="AD23" s="52" t="str">
        <x:v>Neutral</x:v>
      </x:c>
      <x:c r="AE23" s="52" t="str">
        <x:v>Neutral</x:v>
      </x:c>
      <x:c r="AF23" s="52" t="str">
        <x:v>Agree</x:v>
      </x:c>
      <x:c r="AG23" s="52" t="str">
        <x:v>Agree</x:v>
      </x:c>
      <x:c r="AH23" s="52" t="str">
        <x:v>.</x:v>
      </x:c>
      <x:c r="AI23" s="52" t="str">
        <x:v>.</x:v>
      </x:c>
      <x:c r="AJ23" s="52" t="str">
        <x:v>.</x:v>
      </x:c>
    </x:row>
    <x:row r="24">
      <x:c r="A24" s="52" t="str">
        <x:v>ANON-020</x:v>
      </x:c>
      <x:c r="B24" s="52" t="str">
        <x:v>Neutral</x:v>
      </x:c>
      <x:c r="C24" s="52" t="str">
        <x:v>Neutral</x:v>
      </x:c>
      <x:c r="D24" s="52" t="str">
        <x:v>Neutral</x:v>
      </x:c>
      <x:c r="E24" s="52" t="str">
        <x:v>Agree</x:v>
      </x:c>
      <x:c r="F24" s="52" t="str">
        <x:v>Agree</x:v>
      </x:c>
      <x:c r="G24" s="52" t="str">
        <x:v>Agree</x:v>
      </x:c>
      <x:c r="H24" s="52" t="str">
        <x:v>Agree</x:v>
      </x:c>
      <x:c r="I24" s="52" t="str">
        <x:v>Agree</x:v>
      </x:c>
      <x:c r="J24" s="52" t="str">
        <x:v>For those of us not highly experienced in crypto, I think it was useful to get hands on learning experience in a squad setting with others that had different backgrounds and roles.</x:v>
      </x:c>
      <x:c r="K24" s="52" t="str">
        <x:v>The drops contained a lot of data, so my recommendation would be to consolidate some of the drops if possible. I think the site is awesome!</x:v>
      </x:c>
      <x:c r="L24" s="52" t="str">
        <x:v>Agree</x:v>
      </x:c>
      <x:c r="M24" s="52" t="str">
        <x:v>As an FoA, it was a bit challenging to see how I could support the investigation at the beginning before the crypto came into play. I also think I needed a bit more time to review all the drops/documents to fully understand what information we had.</x:v>
      </x:c>
      <x:c r="N24" s="52" t="str">
        <x:v>I think a little more on the crypto would be helpful. I know there are further training opportunities, but a little more time would've been good.</x:v>
      </x:c>
      <x:c r="O24" s="52" t="str">
        <x:v>For me, suggested sites for crypto learning and virtual currency in general.</x:v>
      </x:c>
      <x:c r="P24" s="52" t="str">
        <x:v>I am interested in the crypto trainings, so I will be applying for those. I know you mentioned that you started from scratch when it came to learning crypto, so it would be interesting to get a bit more info on how I can improve my skills- specifically are there certain websites or videos you would like to suggest for training purposes. Thank you!!</x:v>
      </x:c>
      <x:c r="Q24" s="52" t="str">
        <x:v>Again- awesome site! Really cool.</x:v>
      </x:c>
      <x:c r="R24" s="52" t="str">
        <x:v>Agree</x:v>
      </x:c>
      <x:c r="S24" s="52" t="str">
        <x:v>Agree</x:v>
      </x:c>
      <x:c r="T24" s="52" t="str">
        <x:v>Neutral</x:v>
      </x:c>
      <x:c r="U24" s="52" t="str">
        <x:v>Agree</x:v>
      </x:c>
      <x:c r="V24" s="52" t="str">
        <x:v>N/A</x:v>
      </x:c>
      <x:c r="W24" s="52" t="str">
        <x:v>Agree</x:v>
      </x:c>
      <x:c r="X24" s="52" t="str">
        <x:v>Disagree</x:v>
      </x:c>
      <x:c r="Y24" s="52" t="str">
        <x:v>Neutral</x:v>
      </x:c>
      <x:c r="Z24" s="52" t="str">
        <x:v>Strongly agree</x:v>
      </x:c>
      <x:c r="AA24" s="52" t="str">
        <x:v>Disagree</x:v>
      </x:c>
      <x:c r="AB24" s="52" t="str">
        <x:v>Use smaller, more frequent evidence drops</x:v>
      </x:c>
      <x:c r="AC24" s="52" t="str">
        <x:v>I think providing smaller chunks at a time for the drops would've been helpful. We weren't able to review all documents and it made us feel like we missed something.</x:v>
      </x:c>
      <x:c r="AD24" s="52" t="str">
        <x:v>Agree</x:v>
      </x:c>
      <x:c r="AE24" s="52" t="str">
        <x:v>Agree</x:v>
      </x:c>
      <x:c r="AF24" s="52" t="str">
        <x:v>Agree</x:v>
      </x:c>
      <x:c r="AG24" s="52" t="str">
        <x:v>Strongly agree</x:v>
      </x:c>
      <x:c r="AH24" s="52" t="str">
        <x:v>Awesome ranking/standings feature!</x:v>
      </x:c>
      <x:c r="AI24" s="52" t="str">
        <x:v>No issues with the app- I mainly struggled with computer/docking issues throughout the week.</x:v>
      </x:c>
      <x:c r="AJ24" s="52" t="str">
        <x:v>N/A</x:v>
      </x:c>
    </x:row>
    <x:row r="25">
      <x:c r="A25" s="52" t="str">
        <x:v>ANON-021</x:v>
      </x:c>
      <x:c r="B25" s="52" t="str">
        <x:v>Agree</x:v>
      </x:c>
      <x:c r="C25" s="52" t="str">
        <x:v>Agree</x:v>
      </x:c>
      <x:c r="D25" s="52" t="str">
        <x:v>Neutral</x:v>
      </x:c>
      <x:c r="E25" s="52" t="str">
        <x:v>Strongly disagree</x:v>
      </x:c>
      <x:c r="F25" s="52" t="str">
        <x:v>Agree</x:v>
      </x:c>
      <x:c r="G25" s="52" t="str">
        <x:v>Agree</x:v>
      </x:c>
      <x:c r="H25" s="52" t="str">
        <x:v>Disagree</x:v>
      </x:c>
      <x:c r="I25" s="52" t="str">
        <x:v>Agree</x:v>
      </x:c>
      <x:c r="J25" s="52" t="str">
        <x:v>The most valuable part of the course was the connections. Have relationships with people that we can call on to bounce ideas off of and ask for assistance with investigations.</x:v>
      </x:c>
      <x:c r="K25" s="52" t="str">
        <x:v>The website is a fun idea, but it did not work. If you are going to use, it needs to be fully debugged. Should at least have a backup option to deliver the information.
Instead of the fake case, could we follow a real case. We could discuss what happened, what we think should happen as a case team, then actually learn what the case team did and look at the real results. Then we could attempt to analyze the results or discuss how we would analyze them, actually viewing and correlating the artifacts and products that were used/created in the case. 
The fake case required too much data analysis in too short of a time. The questions were multipart and complex. These questions would normally take weeks/months of analysis to understand and form, it was not feasible to do in such short of a time.</x:v>
      </x:c>
      <x:c r="L25" s="52" t="str">
        <x:v>Agree</x:v>
      </x:c>
      <x:c r="M25" s="52" t="str">
        <x:v>Most challenging for me was remembering which tool to use to get which artifacts. It would be immensely helpful to have a one-pager that we could refer to to look at what artifacts we can get and a general why we would want them. That is how it works in the field.</x:v>
      </x:c>
      <x:c r="N25" s="52" t="str">
        <x:v>The Bu does a disservice by not mentioning the National Security mission at Quantico. The same thing with this course. Cyber criminals are important, but cyber NS is also important, if not more important. To just say we have another course on this so we are not going to cover anything is a disservice. Talk about the mission, talk about the tools. It does not have to be in depth, but it needs to shown value and importance.</x:v>
      </x:c>
      <x:c r="O25" s="52" t="str">
        <x:v>One-Pagers to look back on. Any resource that we can look to to refresh our minds on what we learned when the time comes. It does not have to be "codified", but an general SOP on what/how we can handle this type of attack or secure these types of records.</x:v>
      </x:c>
      <x:c r="P25" s="52" t="str">
        <x:v>One-Pagers to look back on. Any resource that we can look to to refresh our minds on what we learned when the time comes. It does not have to be "codified", but an general SOP on what/how we can handle this type of attack or secure these types of records.</x:v>
      </x:c>
      <x:c r="Q25" s="52" t="str">
        <x:v>The guest instructors were not always on the same page. They gave incorrect information based on the grading of some of the quizzes. Also they were asking us to read the slide most of the time. That is not discussion, they should present the slides and then we should be discussing further material that is not on the slides or a more in-depth of what was just presented.
I did appreciate the showing of resources they found helpful and how to navigate to them.
I also appreciated how Cody adapted to class morale, organized events to help us establish connections, and made the class enjoyable. You have a great concept, just need to refine and simplify!</x:v>
      </x:c>
      <x:c r="R25" s="52" t="str">
        <x:v>Agree</x:v>
      </x:c>
      <x:c r="S25" s="52" t="str">
        <x:v>Agree</x:v>
      </x:c>
      <x:c r="T25" s="52" t="str">
        <x:v>Disagree</x:v>
      </x:c>
      <x:c r="U25" s="52" t="str">
        <x:v>Strongly agree</x:v>
      </x:c>
      <x:c r="V25" s="52" t="str">
        <x:v>Already mentioned above.</x:v>
      </x:c>
      <x:c r="W25" s="52" t="str">
        <x:v>Strongly disagree</x:v>
      </x:c>
      <x:c r="X25" s="52" t="str">
        <x:v>Strongly disagree</x:v>
      </x:c>
      <x:c r="Y25" s="52" t="str">
        <x:v>Agree</x:v>
      </x:c>
      <x:c r="Z25" s="52" t="str">
        <x:v>Agree</x:v>
      </x:c>
      <x:c r="AA25" s="52" t="str">
        <x:v>Agree</x:v>
      </x:c>
      <x:c r="AB25" s="52" t="str">
        <x:v>Other (describe below)</x:v>
      </x:c>
      <x:c r="AC25" s="52" t="str">
        <x:v>Instead of the fake case, could we follow a real case. We could discuss what happened, what we think should happen as a case team, then actually learn what the case team did and look at the real results. Then we could attempt to analyze the results or discuss how we would analyze them, actually viewing and correlating the artifacts and products that were used/created in the case.</x:v>
      </x:c>
      <x:c r="AD25" s="52" t="str">
        <x:v>Strongly disagree</x:v>
      </x:c>
      <x:c r="AE25" s="52" t="str">
        <x:v>Agree</x:v>
      </x:c>
      <x:c r="AF25" s="52" t="str">
        <x:v>Agree</x:v>
      </x:c>
      <x:c r="AG25" s="52" t="str">
        <x:v>Neutral</x:v>
      </x:c>
      <x:c r="AH25" s="52" t="str">
        <x:v>It was a fun tool.</x:v>
      </x:c>
      <x:c r="AI25" s="52" t="str">
        <x:v>It was not fully debugged and we did not easily receive the information.</x:v>
      </x:c>
      <x:c r="AJ25" s="52" t="str">
        <x:v>That when you release the information it reliably goes to each cohort/group as intended.</x:v>
      </x:c>
    </x:row>
    <x:row r="26">
      <x:c r="A26" s="52" t="str">
        <x:v>ANON-022</x:v>
      </x:c>
      <x:c r="B26" s="52" t="str">
        <x:v>Strongly agree</x:v>
      </x:c>
      <x:c r="C26" s="52" t="str">
        <x:v>Agree</x:v>
      </x:c>
      <x:c r="D26" s="52" t="str">
        <x:v>Strongly disagree</x:v>
      </x:c>
      <x:c r="E26" s="52" t="str">
        <x:v>Agree</x:v>
      </x:c>
      <x:c r="F26" s="52" t="str">
        <x:v>Strongly agree</x:v>
      </x:c>
      <x:c r="G26" s="52" t="str">
        <x:v>Agree</x:v>
      </x:c>
      <x:c r="H26" s="52" t="str">
        <x:v>Agree</x:v>
      </x:c>
      <x:c r="I26" s="52" t="str">
        <x:v>Neutral</x:v>
      </x:c>
      <x:c r="J26" s="52" t="str">
        <x:v>I think the most valuable part was getting to learn from others experience in real life with the information being taught. I wish there was more time for this.</x:v>
      </x:c>
      <x:c r="K26" s="52" t="str">
        <x:v>I like the idea of the website interface but it more often than not caused more issues than it was helpful. Specifically I think the "drops" could have easily been zip files to give less time on trying to access the info and more time on actually investigating it. I like that it is a competition because it keeps people interested but the website was frustrating.</x:v>
      </x:c>
      <x:c r="L26" s="52" t="str">
        <x:v>Agree</x:v>
      </x:c>
      <x:c r="M26" s="52" t="str">
        <x:v>Cryptocurrency</x:v>
      </x:c>
      <x:c r="N26" s="52" t="str">
        <x:v>Just more time (or less material) to cover so you can actually investigate and not just be trying to rush to get the multi-part questions answered. If we trim the scale and just mention this wouldn't be everything I think it would improve the experience for investigators and increase collaborative discussions across the case team. I just feel that during the break out sessions we were asked to do too much so that we couldn't slow down and learn from one another.</x:v>
      </x:c>
      <x:c r="O26" s="52" t="str"/>
      <x:c r="P26" s="52" t="str"/>
      <x:c r="Q26" s="52" t="str">
        <x:v>Love the effort to keep it fun! It's hard to have the back-end of a two week course.</x:v>
      </x:c>
      <x:c r="R26" s="52" t="str">
        <x:v>Disagree</x:v>
      </x:c>
      <x:c r="S26" s="52" t="str">
        <x:v>Agree</x:v>
      </x:c>
      <x:c r="T26" s="52" t="str">
        <x:v>Neutral</x:v>
      </x:c>
      <x:c r="U26" s="52" t="str">
        <x:v>Agree</x:v>
      </x:c>
      <x:c r="V26" s="52" t="str"/>
      <x:c r="W26" s="52" t="str">
        <x:v>Agree</x:v>
      </x:c>
      <x:c r="X26" s="52" t="str">
        <x:v>Strongly disagree</x:v>
      </x:c>
      <x:c r="Y26" s="52" t="str">
        <x:v>Disagree</x:v>
      </x:c>
      <x:c r="Z26" s="52" t="str">
        <x:v>Strongly agree</x:v>
      </x:c>
      <x:c r="AA26" s="52" t="str">
        <x:v>Agree</x:v>
      </x:c>
      <x:c r="AB26" s="52" t="str">
        <x:v>Use smaller, more frequent evidence drops</x:v>
      </x:c>
      <x:c r="AC26" s="52" t="str"/>
      <x:c r="AD26" s="52" t="str">
        <x:v>Strongly disagree</x:v>
      </x:c>
      <x:c r="AE26" s="52" t="str">
        <x:v>Strongly disagree</x:v>
      </x:c>
      <x:c r="AF26" s="52" t="str">
        <x:v>Neutral</x:v>
      </x:c>
      <x:c r="AG26" s="52" t="str">
        <x:v>Neutral</x:v>
      </x:c>
      <x:c r="AH26" s="52" t="str">
        <x:v>Makes it fun and keeps things interesting.</x:v>
      </x:c>
      <x:c r="AI26" s="52" t="str">
        <x:v>The receipt of drops and some issues when submitting answers to "decrypt" the drops.</x:v>
      </x:c>
      <x:c r="AJ26" s="52" t="str">
        <x:v>The download all was a good start but something to lower time trying to access the material and get set up as a team.</x:v>
      </x:c>
    </x:row>
    <x:row r="27">
      <x:c r="A27" s="52" t="str">
        <x:v>ANON-023</x:v>
      </x:c>
      <x:c r="B27" s="52" t="str">
        <x:v>Agree</x:v>
      </x:c>
      <x:c r="C27" s="52" t="str">
        <x:v>Agree</x:v>
      </x:c>
      <x:c r="D27" s="52" t="str">
        <x:v>Neutral</x:v>
      </x:c>
      <x:c r="E27" s="52" t="str">
        <x:v>Neutral</x:v>
      </x:c>
      <x:c r="F27" s="52" t="str">
        <x:v>Strongly agree</x:v>
      </x:c>
      <x:c r="G27" s="52" t="str">
        <x:v>Agree</x:v>
      </x:c>
      <x:c r="H27" s="52" t="str">
        <x:v>Agree</x:v>
      </x:c>
      <x:c r="I27" s="52" t="str">
        <x:v>Agree</x:v>
      </x:c>
      <x:c r="J27" s="52" t="str">
        <x:v>This was a good overview course for cyber crim. I really liked the overview mixed with the practice portion.</x:v>
      </x:c>
      <x:c r="K27" s="52" t="str">
        <x:v>I would have appreciated more time on tool coverage. The few times tools were brought up they seemed ad-hoc and rushed. It would have been nice to know where the tools were and how to use them in cases. 
The drops were good but the number of drops, the sequence, and amouont of information made it seem cumbersome and overwhelming. It is difficult to imitate a cyber crim case in less than a week but I feel like the amount of information overload during week 2 may be a big overhaul and difficult to follow with the current drop set up.</x:v>
      </x:c>
      <x:c r="L27" s="52" t="str">
        <x:v>Neutral</x:v>
      </x:c>
      <x:c r="M27" s="52" t="str"/>
      <x:c r="N27" s="52" t="str">
        <x:v>log overview and the importance of which ones to request and why we need certain things for certain types of intrusions / issues</x:v>
      </x:c>
      <x:c r="O27" s="52" t="str">
        <x:v>Overview of common tools and where to find them within cyber cases</x:v>
      </x:c>
      <x:c r="P27" s="52" t="str"/>
      <x:c r="Q27" s="52" t="str"/>
      <x:c r="R27" s="52" t="str">
        <x:v>Agree</x:v>
      </x:c>
      <x:c r="S27" s="52" t="str">
        <x:v>Agree</x:v>
      </x:c>
      <x:c r="T27" s="52" t="str">
        <x:v>Strongly agree</x:v>
      </x:c>
      <x:c r="U27" s="52" t="str">
        <x:v>Strongly agree</x:v>
      </x:c>
      <x:c r="V27" s="52" t="str"/>
      <x:c r="W27" s="52" t="str">
        <x:v>Neutral</x:v>
      </x:c>
      <x:c r="X27" s="52" t="str">
        <x:v>Neutral</x:v>
      </x:c>
      <x:c r="Y27" s="52" t="str">
        <x:v>Disagree</x:v>
      </x:c>
      <x:c r="Z27" s="52" t="str">
        <x:v>Agree</x:v>
      </x:c>
      <x:c r="AA27" s="52" t="str">
        <x:v>Agree</x:v>
      </x:c>
      <x:c r="AB27" s="52" t="str">
        <x:v>Use smaller, more frequent evidence drops</x:v>
      </x:c>
      <x:c r="AC27" s="52" t="str">
        <x:v>I think the investigation and collaboration format were well set up. The evidence drops were manageable in the beginning and then seemed to include a lot to read and digest with no time to do that. By the end of the week it included more searching for answers than actually understanding what was occurring within the case. Perhaps more overview next day or more time to read / less documents in the drops would help.</x:v>
      </x:c>
      <x:c r="AD27" s="52" t="str">
        <x:v>Neutral</x:v>
      </x:c>
      <x:c r="AE27" s="52" t="str">
        <x:v>Neutral</x:v>
      </x:c>
      <x:c r="AF27" s="52" t="str">
        <x:v>Neutral</x:v>
      </x:c>
      <x:c r="AG27" s="52" t="str">
        <x:v>Neutral</x:v>
      </x:c>
      <x:c r="AH27" s="52" t="str">
        <x:v>It was a good set up and a fun tool to use.</x:v>
      </x:c>
      <x:c r="AI27" s="52" t="str">
        <x:v>The refreshes that changed the system while working on it.</x:v>
      </x:c>
      <x:c r="AJ27" s="52" t="str">
        <x:v>To be able to work on the questions together it would be nice to actually utilize the chat feature or work on the questions together without it glitching. This would help with the collaborative portion of the class.</x:v>
      </x:c>
    </x:row>
    <x:row r="28">
      <x:c r="A28" s="52" t="str">
        <x:v>ANON-024</x:v>
      </x:c>
      <x:c r="B28" s="52" t="str">
        <x:v>Agree</x:v>
      </x:c>
      <x:c r="C28" s="52" t="str">
        <x:v>Disagree</x:v>
      </x:c>
      <x:c r="D28" s="52" t="str">
        <x:v>Agree</x:v>
      </x:c>
      <x:c r="E28" s="52" t="str">
        <x:v>Agree</x:v>
      </x:c>
      <x:c r="F28" s="52" t="str">
        <x:v>Agree</x:v>
      </x:c>
      <x:c r="G28" s="52" t="str">
        <x:v>Agree</x:v>
      </x:c>
      <x:c r="H28" s="52" t="str">
        <x:v>Agree</x:v>
      </x:c>
      <x:c r="I28" s="52" t="str">
        <x:v>Agree</x:v>
      </x:c>
      <x:c r="J28" s="52" t="str">
        <x:v>I would have actually liked to do the search again.</x:v>
      </x:c>
      <x:c r="K28" s="52" t="str">
        <x:v>I actually think crypto could be removed. It was legit too intro to the point where I didn't really gather that.</x:v>
      </x:c>
      <x:c r="L28" s="52" t="str">
        <x:v>Agree</x:v>
      </x:c>
      <x:c r="M28" s="52" t="str">
        <x:v>Grand jury.</x:v>
      </x:c>
      <x:c r="N28" s="52" t="str">
        <x:v>I actually was hoping that this would have been more hands on evidence collection but now I am more intrigued to get CART/DEXT certified.</x:v>
      </x:c>
      <x:c r="O28" s="52" t="str"/>
      <x:c r="P28" s="52" t="str"/>
      <x:c r="Q28" s="52" t="str"/>
      <x:c r="R28" s="52" t="str">
        <x:v>Agree</x:v>
      </x:c>
      <x:c r="S28" s="52" t="str">
        <x:v>Agree</x:v>
      </x:c>
      <x:c r="T28" s="52" t="str">
        <x:v>Neutral</x:v>
      </x:c>
      <x:c r="U28" s="52" t="str">
        <x:v>Agree</x:v>
      </x:c>
      <x:c r="V28" s="52" t="str"/>
      <x:c r="W28" s="52" t="str">
        <x:v>Agree</x:v>
      </x:c>
      <x:c r="X28" s="52" t="str">
        <x:v>Neutral</x:v>
      </x:c>
      <x:c r="Y28" s="52" t="str">
        <x:v>Neutral</x:v>
      </x:c>
      <x:c r="Z28" s="52" t="str">
        <x:v>Agree</x:v>
      </x:c>
      <x:c r="AA28" s="52" t="str">
        <x:v>Neutral</x:v>
      </x:c>
      <x:c r="AB28" s="52" t="str">
        <x:v>Other (describe below)</x:v>
      </x:c>
      <x:c r="AC28" s="52" t="str"/>
      <x:c r="AD28" s="52" t="str">
        <x:v>Disagree</x:v>
      </x:c>
      <x:c r="AE28" s="52" t="str">
        <x:v>Disagree</x:v>
      </x:c>
      <x:c r="AF28" s="52" t="str">
        <x:v>Neutral</x:v>
      </x:c>
      <x:c r="AG28" s="52" t="str">
        <x:v>Agree</x:v>
      </x:c>
      <x:c r="AH28" s="52" t="str"/>
      <x:c r="AI28" s="52" t="str">
        <x:v>The inconsistently of drops</x:v>
      </x:c>
      <x:c r="AJ28" s="52" t="str">
        <x:v>Making sure drops come in when AND can load.</x:v>
      </x:c>
    </x:row>
    <x:row r="29">
      <x:c r="A29" s="52" t="str">
        <x:v>ANON-025</x:v>
      </x:c>
      <x:c r="B29" s="52" t="str">
        <x:v>Agree</x:v>
      </x:c>
      <x:c r="C29" s="52" t="str">
        <x:v>Agree</x:v>
      </x:c>
      <x:c r="D29" s="52" t="str">
        <x:v>Neutral</x:v>
      </x:c>
      <x:c r="E29" s="52" t="str">
        <x:v>Neutral</x:v>
      </x:c>
      <x:c r="F29" s="52" t="str">
        <x:v>Agree</x:v>
      </x:c>
      <x:c r="G29" s="52" t="str">
        <x:v>Agree</x:v>
      </x:c>
      <x:c r="H29" s="52" t="str">
        <x:v>Agree</x:v>
      </x:c>
      <x:c r="I29" s="52" t="str">
        <x:v>Agree</x:v>
      </x:c>
      <x:c r="J29" s="52" t="str">
        <x:v>The labs to re-enforce the lessons learned.  Some of the 'drop' material solidified lessons being taught in the course.  Most beneficial when discussed how they played in real world cases.</x:v>
      </x:c>
      <x:c r="K29" s="52" t="str">
        <x:v>At times the 'drops' seemed to have too much information in them in order to effectively understand all the information which was being relayed. This lead to more just 'finding' answers to the questions in the drop results rather than understanding the practical example material. Recommendation would be to have less material in the drops, or give students more time to understand material contained in them and answer any applicable taskings.</x:v>
      </x:c>
      <x:c r="L29" s="52" t="str">
        <x:v>Agree</x:v>
      </x:c>
      <x:c r="M29" s="52" t="str">
        <x:v>information about what artifacts would be located in which applicable system or location. Such as which log or storage locations would host information which may be valuable to find artifacts/evidence.</x:v>
      </x:c>
      <x:c r="N29" s="52" t="str">
        <x:v>Lead the class through more real world examples of a situation which matches the information being relayed.  Such as, if trying to teach about something technical and how it was investigated, have more discussion time about what exactly was sought, which logs/artifacts/tools, how they were acquired, etc.</x:v>
      </x:c>
      <x:c r="O29" s="52" t="str"/>
      <x:c r="P29" s="52" t="str">
        <x:v>Would be great to have something akin to an investigators 'toolkit'.  Something where references or links to a whole host of tools are located in a one stop shop sharepoint or Bunet site.  Where as a cyber investigator, if I for example needed a parsing tool, that site would have links or tell me where to go to find one.  But would also have examples or links to a whole host of products or tools for a wide variety of things commonly utilized by Cyber investigators.</x:v>
      </x:c>
      <x:c r="Q29" s="52" t="str"/>
      <x:c r="R29" s="52" t="str">
        <x:v>Agree</x:v>
      </x:c>
      <x:c r="S29" s="52" t="str">
        <x:v>Agree</x:v>
      </x:c>
      <x:c r="T29" s="52" t="str">
        <x:v>Agree</x:v>
      </x:c>
      <x:c r="U29" s="52" t="str">
        <x:v>Agree</x:v>
      </x:c>
      <x:c r="V29" s="52" t="str"/>
      <x:c r="W29" s="52" t="str">
        <x:v>Neutral</x:v>
      </x:c>
      <x:c r="X29" s="52" t="str">
        <x:v>Disagree</x:v>
      </x:c>
      <x:c r="Y29" s="52" t="str">
        <x:v>Neutral</x:v>
      </x:c>
      <x:c r="Z29" s="52" t="str">
        <x:v>Neutral</x:v>
      </x:c>
      <x:c r="AA29" s="52" t="str">
        <x:v>Neutral</x:v>
      </x:c>
      <x:c r="AB29" s="52" t="str">
        <x:v>Allow more squad or class collaboration time</x:v>
      </x:c>
      <x:c r="AC29" s="52" t="str">
        <x:v>See answer to Q10.  Drops should either be given more time to more thoroughly understand the content of the drops, or less material covered per drop.  At times it felt too little time was given to ingest drop and then answer the applicable packet assessment.  This lead to squads tending to just search through the drops just to find answers to the questions versus actually comprehend the drop material. Also, i felt there could have been class time after the packet assessments in order to go through what correct ways were to address some of the more investigative strategy questions at that point in the investigation.  This would help re-enforce cyber investigation strategy for the class.</x:v>
      </x:c>
      <x:c r="AD29" s="52" t="str">
        <x:v>Neutral</x:v>
      </x:c>
      <x:c r="AE29" s="52" t="str">
        <x:v>Neutral</x:v>
      </x:c>
      <x:c r="AF29" s="52" t="str">
        <x:v>Neutral</x:v>
      </x:c>
      <x:c r="AG29" s="52" t="str">
        <x:v>Neutral</x:v>
      </x:c>
      <x:c r="AH29" s="52" t="str">
        <x:v>The interface had some bugs. When it worked, it was a good tool.</x:v>
      </x:c>
      <x:c r="AI29" s="52" t="str"/>
      <x:c r="AJ29" s="52" t="str"/>
    </x:row>
    <x:row r="30">
      <x:c r="A30" s="52" t="str">
        <x:v>ANON-026</x:v>
      </x:c>
      <x:c r="B30" s="52" t="str">
        <x:v>Neutral</x:v>
      </x:c>
      <x:c r="C30" s="52" t="str">
        <x:v>Neutral</x:v>
      </x:c>
      <x:c r="D30" s="52" t="str">
        <x:v>Neutral</x:v>
      </x:c>
      <x:c r="E30" s="52" t="str">
        <x:v>Neutral</x:v>
      </x:c>
      <x:c r="F30" s="52" t="str">
        <x:v>Neutral</x:v>
      </x:c>
      <x:c r="G30" s="52" t="str">
        <x:v>Neutral</x:v>
      </x:c>
      <x:c r="H30" s="52" t="str">
        <x:v>Neutral</x:v>
      </x:c>
      <x:c r="I30" s="52" t="str">
        <x:v>Neutral</x:v>
      </x:c>
      <x:c r="J30" s="52" t="str">
        <x:v>NA</x:v>
      </x:c>
      <x:c r="K30" s="52" t="str">
        <x:v>NA</x:v>
      </x:c>
      <x:c r="L30" s="52" t="str">
        <x:v>Neutral</x:v>
      </x:c>
      <x:c r="M30" s="52" t="str">
        <x:v>NA</x:v>
      </x:c>
      <x:c r="N30" s="52" t="str">
        <x:v>NA</x:v>
      </x:c>
      <x:c r="O30" s="52" t="str">
        <x:v>NA</x:v>
      </x:c>
      <x:c r="P30" s="52" t="str">
        <x:v>NA</x:v>
      </x:c>
      <x:c r="Q30" s="52" t="str">
        <x:v>NA</x:v>
      </x:c>
      <x:c r="R30" s="52" t="str">
        <x:v>Neutral</x:v>
      </x:c>
      <x:c r="S30" s="52" t="str">
        <x:v>Neutral</x:v>
      </x:c>
      <x:c r="T30" s="52" t="str">
        <x:v>Neutral</x:v>
      </x:c>
      <x:c r="U30" s="52" t="str">
        <x:v>Neutral</x:v>
      </x:c>
      <x:c r="V30" s="52" t="str">
        <x:v>NA</x:v>
      </x:c>
      <x:c r="W30" s="52" t="str">
        <x:v>Neutral</x:v>
      </x:c>
      <x:c r="X30" s="52" t="str">
        <x:v>Neutral</x:v>
      </x:c>
      <x:c r="Y30" s="52" t="str">
        <x:v>Neutral</x:v>
      </x:c>
      <x:c r="Z30" s="52" t="str">
        <x:v>Neutral</x:v>
      </x:c>
      <x:c r="AA30" s="52" t="str">
        <x:v>Neutral</x:v>
      </x:c>
      <x:c r="AB30" s="52" t="str">
        <x:v>Use smaller, more frequent evidence drops</x:v>
      </x:c>
      <x:c r="AC30" s="52" t="str">
        <x:v>NA</x:v>
      </x:c>
      <x:c r="AD30" s="52" t="str">
        <x:v>Neutral</x:v>
      </x:c>
      <x:c r="AE30" s="52" t="str">
        <x:v>Neutral</x:v>
      </x:c>
      <x:c r="AF30" s="52" t="str">
        <x:v>Neutral</x:v>
      </x:c>
      <x:c r="AG30" s="52" t="str">
        <x:v>Neutral</x:v>
      </x:c>
      <x:c r="AH30" s="52" t="str">
        <x:v>NA</x:v>
      </x:c>
      <x:c r="AI30" s="52" t="str">
        <x:v>NA</x:v>
      </x:c>
      <x:c r="AJ30" s="52" t="str">
        <x:v>NA</x:v>
      </x:c>
    </x:row>
    <x:row r="31">
      <x:c r="A31" s="52" t="str">
        <x:v>ANON-027</x:v>
      </x:c>
      <x:c r="B31" s="52" t="str">
        <x:v>Agree</x:v>
      </x:c>
      <x:c r="C31" s="52" t="str">
        <x:v>Strongly agree</x:v>
      </x:c>
      <x:c r="D31" s="52" t="str">
        <x:v>Agree</x:v>
      </x:c>
      <x:c r="E31" s="52" t="str">
        <x:v>Agree</x:v>
      </x:c>
      <x:c r="F31" s="52" t="str">
        <x:v>Agree</x:v>
      </x:c>
      <x:c r="G31" s="52" t="str">
        <x:v>Strongly agree</x:v>
      </x:c>
      <x:c r="H31" s="52" t="str">
        <x:v>Agree</x:v>
      </x:c>
      <x:c r="I31" s="52" t="str">
        <x:v>Strongly agree</x:v>
      </x:c>
      <x:c r="J31" s="52" t="str">
        <x:v>Collaborating with squad members</x:v>
      </x:c>
      <x:c r="K31" s="52" t="str"/>
      <x:c r="L31" s="52" t="str">
        <x:v>Agree</x:v>
      </x:c>
      <x:c r="M31" s="52" t="str"/>
      <x:c r="N31" s="52" t="str"/>
      <x:c r="O31" s="52" t="str"/>
      <x:c r="P31" s="52" t="str"/>
      <x:c r="Q31" s="52" t="str"/>
      <x:c r="R31" s="52" t="str">
        <x:v>Agree</x:v>
      </x:c>
      <x:c r="S31" s="52" t="str">
        <x:v>Strongly agree</x:v>
      </x:c>
      <x:c r="T31" s="52" t="str">
        <x:v>Agree</x:v>
      </x:c>
      <x:c r="U31" s="52" t="str">
        <x:v>Neutral</x:v>
      </x:c>
      <x:c r="V31" s="52" t="str"/>
      <x:c r="W31" s="52" t="str">
        <x:v>Strongly agree</x:v>
      </x:c>
      <x:c r="X31" s="52" t="str">
        <x:v>Agree</x:v>
      </x:c>
      <x:c r="Y31" s="52" t="str">
        <x:v>Neutral</x:v>
      </x:c>
      <x:c r="Z31" s="52" t="str">
        <x:v>Strongly agree</x:v>
      </x:c>
      <x:c r="AA31" s="52" t="str">
        <x:v>Strongly agree</x:v>
      </x:c>
      <x:c r="AB31" s="52" t="str">
        <x:v>Allow more independent investigation time</x:v>
      </x:c>
      <x:c r="AC31" s="52" t="str">
        <x:v>The progressive investigation and evidence drops were very thorough and well organized. However, due to time constraints, instead of truly reviewing the evidence and gathering a fulsome view of the investigation, the squad priority was simply reviewing only what was necessary to complete the questions. My recommendation would be to slim down some of the instruction blocks, add more time to each day's instruction, and build in more time for additional independent and squad review of the facts (consistent with real world investigations).</x:v>
      </x:c>
      <x:c r="AD31" s="52" t="str">
        <x:v>Neutral</x:v>
      </x:c>
      <x:c r="AE31" s="52" t="str">
        <x:v>Neutral</x:v>
      </x:c>
      <x:c r="AF31" s="52" t="str">
        <x:v>Agree</x:v>
      </x:c>
      <x:c r="AG31" s="52" t="str">
        <x:v>Agree</x:v>
      </x:c>
      <x:c r="AH31" s="52" t="str">
        <x:v>Easy to use. Immediate feedback.</x:v>
      </x:c>
      <x:c r="AI31" s="52" t="str"/>
      <x:c r="AJ31" s="52" t="str">
        <x:v>Eliminate the standings tab. Group submissions for individual assessments did not appear to be applied evenly across all students, making the scoring system irrelevant.</x:v>
      </x:c>
    </x:row>
    <x:row r="32">
      <x:c r="A32" s="52" t="str">
        <x:v>ANON-028</x:v>
      </x:c>
      <x:c r="B32" s="52" t="str">
        <x:v>Agree</x:v>
      </x:c>
      <x:c r="C32" s="52" t="str">
        <x:v>Agree</x:v>
      </x:c>
      <x:c r="D32" s="52" t="str">
        <x:v>Agree</x:v>
      </x:c>
      <x:c r="E32" s="52" t="str">
        <x:v>Agree</x:v>
      </x:c>
      <x:c r="F32" s="52" t="str">
        <x:v>Agree</x:v>
      </x:c>
      <x:c r="G32" s="52" t="str">
        <x:v>Agree</x:v>
      </x:c>
      <x:c r="H32" s="52" t="str">
        <x:v>Agree</x:v>
      </x:c>
      <x:c r="I32" s="52" t="str">
        <x:v>Agree</x:v>
      </x:c>
      <x:c r="J32" s="52" t="str"/>
      <x:c r="K32" s="52" t="str">
        <x:v>The website had a tendency to slow the pace of the course and seemed unnecessary at time. It would have been easier and faster to have all information in a sharepoint that we could access readily.</x:v>
      </x:c>
      <x:c r="L32" s="52" t="str">
        <x:v>Agree</x:v>
      </x:c>
      <x:c r="M32" s="52" t="str"/>
      <x:c r="N32" s="52" t="str">
        <x:v>Digital forensics.  I believe everyone across all roles should have a basic understanding of what the forensics look like, where we are getting them from, and what we should be looking for.</x:v>
      </x:c>
      <x:c r="O32" s="52" t="str"/>
      <x:c r="P32" s="52" t="str"/>
      <x:c r="Q32" s="52" t="str"/>
      <x:c r="R32" s="52" t="str">
        <x:v>Agree</x:v>
      </x:c>
      <x:c r="S32" s="52" t="str">
        <x:v>Agree</x:v>
      </x:c>
      <x:c r="T32" s="52" t="str">
        <x:v>Agree</x:v>
      </x:c>
      <x:c r="U32" s="52" t="str">
        <x:v>Agree</x:v>
      </x:c>
      <x:c r="V32" s="52" t="str"/>
      <x:c r="W32" s="52" t="str">
        <x:v>Agree</x:v>
      </x:c>
      <x:c r="X32" s="52" t="str">
        <x:v>Neutral</x:v>
      </x:c>
      <x:c r="Y32" s="52" t="str">
        <x:v>Neutral</x:v>
      </x:c>
      <x:c r="Z32" s="52" t="str">
        <x:v>Agree</x:v>
      </x:c>
      <x:c r="AA32" s="52" t="str">
        <x:v>Agree</x:v>
      </x:c>
      <x:c r="AB32" s="52" t="str">
        <x:v>Use smaller, more frequent evidence drops</x:v>
      </x:c>
      <x:c r="AC32" s="52" t="str"/>
      <x:c r="AD32" s="52" t="str">
        <x:v>Disagree</x:v>
      </x:c>
      <x:c r="AE32" s="52" t="str">
        <x:v>Disagree</x:v>
      </x:c>
      <x:c r="AF32" s="52" t="str">
        <x:v>Disagree</x:v>
      </x:c>
      <x:c r="AG32" s="52" t="str">
        <x:v>Neutral</x:v>
      </x:c>
      <x:c r="AH32" s="52" t="str"/>
      <x:c r="AI32" s="52" t="str"/>
      <x:c r="AJ32" s="52" t="str"/>
    </x:row>
    <x:row r="33">
      <x:c r="A33" s="52" t="str">
        <x:v>ANON-029</x:v>
      </x:c>
      <x:c r="B33" s="52" t="str">
        <x:v>Neutral</x:v>
      </x:c>
      <x:c r="C33" s="52" t="str">
        <x:v>Neutral</x:v>
      </x:c>
      <x:c r="D33" s="52" t="str">
        <x:v>Disagree</x:v>
      </x:c>
      <x:c r="E33" s="52" t="str">
        <x:v>Agree</x:v>
      </x:c>
      <x:c r="F33" s="52" t="str">
        <x:v>Agree</x:v>
      </x:c>
      <x:c r="G33" s="52" t="str">
        <x:v>Agree</x:v>
      </x:c>
      <x:c r="H33" s="52" t="str">
        <x:v>Agree</x:v>
      </x:c>
      <x:c r="I33" s="52" t="str">
        <x:v>Agree</x:v>
      </x:c>
      <x:c r="J33" s="52" t="str">
        <x:v>The challenges and team exercises</x:v>
      </x:c>
      <x:c r="K33" s="52" t="str">
        <x:v>Content and delivery were great; just not enough time to digest what we were learning and apply it to a challenge/exercise without feeling rushed</x:v>
      </x:c>
      <x:c r="L33" s="52" t="str">
        <x:v>Agree</x:v>
      </x:c>
      <x:c r="M33" s="52" t="str">
        <x:v>Legal process - I am not an agent</x:v>
      </x:c>
      <x:c r="N33" s="52" t="str">
        <x:v>How each job role/position plays a part in the investigation, including things they might work on and what that looks like</x:v>
      </x:c>
      <x:c r="O33" s="52" t="str">
        <x:v>N/A</x:v>
      </x:c>
      <x:c r="P33" s="52" t="str">
        <x:v>N/A</x:v>
      </x:c>
      <x:c r="Q33" s="52" t="str">
        <x:v>This course would be more beneficial if it was a two week course on its own and not combined with BITS</x:v>
      </x:c>
      <x:c r="R33" s="52" t="str">
        <x:v>Disagree</x:v>
      </x:c>
      <x:c r="S33" s="52" t="str">
        <x:v>Neutral</x:v>
      </x:c>
      <x:c r="T33" s="52" t="str">
        <x:v>Disagree</x:v>
      </x:c>
      <x:c r="U33" s="52" t="str">
        <x:v>Neutral</x:v>
      </x:c>
      <x:c r="V33" s="52" t="str">
        <x:v>Too much information to parse through in a short amount of time with all additional content we had to learn/ingest. Website was not always functional, which took more time away from us being able to complete assignments or fully understand what we needed to do/complete the task</x:v>
      </x:c>
      <x:c r="W33" s="52" t="str">
        <x:v>Neutral</x:v>
      </x:c>
      <x:c r="X33" s="52" t="str">
        <x:v>Strongly disagree</x:v>
      </x:c>
      <x:c r="Y33" s="52" t="str">
        <x:v>Strongly disagree</x:v>
      </x:c>
      <x:c r="Z33" s="52" t="str">
        <x:v>Agree</x:v>
      </x:c>
      <x:c r="AA33" s="52" t="str">
        <x:v>Strongly disagree</x:v>
      </x:c>
      <x:c r="AB33" s="52" t="str">
        <x:v>Allow more squad or class collaboration time</x:v>
      </x:c>
      <x:c r="AC33" s="52" t="str">
        <x:v>More time to ingest the material then work together as a squad. Additionally, ensure each role is appropriately assigned. For example, we had no intelligence analysts, so we were missing that critical frame of thinking/opinion; however, we had too many agents. It was not equally distributed, which made collaborating a bit more tough. The workload for individual assignments was then unfair, as some had more work than others and no one to collaborate with to develop a framework</x:v>
      </x:c>
      <x:c r="AD33" s="52" t="str">
        <x:v>Strongly disagree</x:v>
      </x:c>
      <x:c r="AE33" s="52" t="str">
        <x:v>Strongly disagree</x:v>
      </x:c>
      <x:c r="AF33" s="52" t="str">
        <x:v>Strongly disagree</x:v>
      </x:c>
      <x:c r="AG33" s="52" t="str">
        <x:v>Neutral</x:v>
      </x:c>
      <x:c r="AH33" s="52" t="str">
        <x:v>It looked cool and it was easy to navigate when it worked</x:v>
      </x:c>
      <x:c r="AI33" s="52" t="str">
        <x:v>Drops not loading, assignments not loading. Those interferences interrupted how we were able to work together as a team and alone more times than not and left us with not enough time to complete missions/assignments</x:v>
      </x:c>
      <x:c r="AJ33" s="52" t="str">
        <x:v>Functionality and reliability</x:v>
      </x:c>
    </x:row>
    <x:row r="34">
      <x:c r="A34" s="52" t="str">
        <x:v>ANON-030</x:v>
      </x:c>
      <x:c r="B34" s="52" t="str">
        <x:v>Agree</x:v>
      </x:c>
      <x:c r="C34" s="52" t="str">
        <x:v>Strongly agree</x:v>
      </x:c>
      <x:c r="D34" s="52" t="str">
        <x:v>Disagree</x:v>
      </x:c>
      <x:c r="E34" s="52" t="str">
        <x:v>Strongly agree</x:v>
      </x:c>
      <x:c r="F34" s="52" t="str">
        <x:v>Strongly agree</x:v>
      </x:c>
      <x:c r="G34" s="52" t="str">
        <x:v>Strongly agree</x:v>
      </x:c>
      <x:c r="H34" s="52" t="str">
        <x:v>Agree</x:v>
      </x:c>
      <x:c r="I34" s="52" t="str">
        <x:v>Agree</x:v>
      </x:c>
      <x:c r="J34" s="52" t="str">
        <x:v>The most valuable part of this course was the chance to work with other people on a simulated case envorment to problem solve.</x:v>
      </x:c>
      <x:c r="K34" s="52" t="str">
        <x:v>I believe the case team drops work/volume was very high and made it hard to remember relevant case details in the small amount of time we had.</x:v>
      </x:c>
      <x:c r="L34" s="52" t="str">
        <x:v>Agree</x:v>
      </x:c>
      <x:c r="M34" s="52" t="str"/>
      <x:c r="N34" s="52" t="str"/>
      <x:c r="O34" s="52" t="str"/>
      <x:c r="P34" s="52" t="str"/>
      <x:c r="Q34" s="52" t="str"/>
      <x:c r="R34" s="52" t="str">
        <x:v>Disagree</x:v>
      </x:c>
      <x:c r="S34" s="52" t="str">
        <x:v>Strongly agree</x:v>
      </x:c>
      <x:c r="T34" s="52" t="str">
        <x:v>Neutral</x:v>
      </x:c>
      <x:c r="U34" s="52" t="str">
        <x:v>Strongly agree</x:v>
      </x:c>
      <x:c r="V34" s="52" t="str"/>
      <x:c r="W34" s="52" t="str">
        <x:v>Agree</x:v>
      </x:c>
      <x:c r="X34" s="52" t="str">
        <x:v>Neutral</x:v>
      </x:c>
      <x:c r="Y34" s="52" t="str">
        <x:v>Disagree</x:v>
      </x:c>
      <x:c r="Z34" s="52" t="str">
        <x:v>Strongly agree</x:v>
      </x:c>
      <x:c r="AA34" s="52" t="str">
        <x:v>Strongly agree</x:v>
      </x:c>
      <x:c r="AB34" s="52" t="str">
        <x:v>Use smaller, more frequent evidence drops</x:v>
      </x:c>
      <x:c r="AC34" s="52" t="str"/>
      <x:c r="AD34" s="52" t="str">
        <x:v>Disagree</x:v>
      </x:c>
      <x:c r="AE34" s="52" t="str">
        <x:v>Neutral</x:v>
      </x:c>
      <x:c r="AF34" s="52" t="str">
        <x:v>Agree</x:v>
      </x:c>
      <x:c r="AG34" s="52" t="str">
        <x:v>Agree</x:v>
      </x:c>
      <x:c r="AH34" s="52" t="str">
        <x:v>The standings</x:v>
      </x:c>
      <x:c r="AI34" s="52" t="str">
        <x:v>The standings often included different scores for different people making them unreliable.</x:v>
      </x:c>
      <x:c r="AJ34" s="52" t="str">
        <x:v>What test scores go to what category.</x:v>
      </x:c>
    </x:row>
    <x:row r="35">
      <x:c r="A35" s="52" t="str">
        <x:v>ANON-031</x:v>
      </x:c>
      <x:c r="B35" s="52" t="str">
        <x:v>Agree</x:v>
      </x:c>
      <x:c r="C35" s="52" t="str">
        <x:v>Agree</x:v>
      </x:c>
      <x:c r="D35" s="52" t="str">
        <x:v>Disagree</x:v>
      </x:c>
      <x:c r="E35" s="52" t="str">
        <x:v>Agree</x:v>
      </x:c>
      <x:c r="F35" s="52" t="str">
        <x:v>Agree</x:v>
      </x:c>
      <x:c r="G35" s="52" t="str">
        <x:v>Agree</x:v>
      </x:c>
      <x:c r="H35" s="52" t="str">
        <x:v>Agree</x:v>
      </x:c>
      <x:c r="I35" s="52" t="str">
        <x:v>Agree</x:v>
      </x:c>
      <x:c r="J35" s="52" t="str">
        <x:v>The hands on scenario layout of the course was beneficial in reinforcing the lecture concepts.</x:v>
      </x:c>
      <x:c r="K35" s="52" t="str">
        <x:v>Overall it felt rushed -- too much information, too fast, without time to digest all of the facts. The pacing and number of injects did not seem to align and more time was needed for individual roles to complete their specific taskings.</x:v>
      </x:c>
      <x:c r="L35" s="52" t="str">
        <x:v>Agree</x:v>
      </x:c>
      <x:c r="M35" s="52" t="str"/>
      <x:c r="N35" s="52" t="str"/>
      <x:c r="O35" s="52" t="str">
        <x:v>Having some of the injects ahead of time would ensure the scenario injects were read completely.</x:v>
      </x:c>
      <x:c r="P35" s="52" t="str"/>
      <x:c r="Q35" s="52" t="str"/>
      <x:c r="R35" s="52" t="str">
        <x:v>Disagree</x:v>
      </x:c>
      <x:c r="S35" s="52" t="str">
        <x:v>Agree</x:v>
      </x:c>
      <x:c r="T35" s="52" t="str">
        <x:v>Neutral</x:v>
      </x:c>
      <x:c r="U35" s="52" t="str">
        <x:v>Agree</x:v>
      </x:c>
      <x:c r="V35" s="52" t="str">
        <x:v>The pacing seemed rushed with all of the injects that needed read and evaluated.
Appreciated the last minute addition of additional internet hook-ups in the break-out rooms.</x:v>
      </x:c>
      <x:c r="W35" s="52" t="str">
        <x:v>Agree</x:v>
      </x:c>
      <x:c r="X35" s="52" t="str">
        <x:v>Disagree</x:v>
      </x:c>
      <x:c r="Y35" s="52" t="str">
        <x:v>Disagree</x:v>
      </x:c>
      <x:c r="Z35" s="52" t="str">
        <x:v>Agree</x:v>
      </x:c>
      <x:c r="AA35" s="52" t="str">
        <x:v>Neutral</x:v>
      </x:c>
      <x:c r="AB35" s="52" t="str">
        <x:v>Allow more independent investigation time</x:v>
      </x:c>
      <x:c r="AC35" s="52" t="str">
        <x:v>Fewer items in the dops would help with balancing the quick pace of the course.</x:v>
      </x:c>
      <x:c r="AD35" s="52" t="str">
        <x:v>Neutral</x:v>
      </x:c>
      <x:c r="AE35" s="52" t="str">
        <x:v>Neutral</x:v>
      </x:c>
      <x:c r="AF35" s="52" t="str">
        <x:v>Neutral</x:v>
      </x:c>
      <x:c r="AG35" s="52" t="str">
        <x:v>Agree</x:v>
      </x:c>
      <x:c r="AH35" s="52" t="str"/>
      <x:c r="AI35" s="52" t="str">
        <x:v>Link chart - please make full screen and enable ability to change color scheme - the contrast between the white+font selection and the black background made for difficult viewing</x:v>
      </x:c>
      <x:c r="AJ35" s="52" t="str"/>
    </x:row>
    <x:row r="36">
      <x:c r="A36" s="52" t="str">
        <x:v>ANON-032</x:v>
      </x:c>
      <x:c r="B36" s="52" t="str">
        <x:v>Agree</x:v>
      </x:c>
      <x:c r="C36" s="52" t="str">
        <x:v>Strongly agree</x:v>
      </x:c>
      <x:c r="D36" s="52" t="str">
        <x:v>Neutral</x:v>
      </x:c>
      <x:c r="E36" s="52" t="str">
        <x:v>Agree</x:v>
      </x:c>
      <x:c r="F36" s="52" t="str">
        <x:v>Agree</x:v>
      </x:c>
      <x:c r="G36" s="52" t="str">
        <x:v>Strongly agree</x:v>
      </x:c>
      <x:c r="H36" s="52" t="str">
        <x:v>Strongly agree</x:v>
      </x:c>
      <x:c r="I36" s="52" t="str">
        <x:v>Agree</x:v>
      </x:c>
      <x:c r="J36" s="52" t="str">
        <x:v>The legal process explanations of how to request certain records and how they drive investigations was very useful.</x:v>
      </x:c>
      <x:c r="K36" s="52" t="str">
        <x:v>The pacing felt a bit rushed. Some squad assignments felt like there wasn't enough time to sift through the dropped data and come up with a coherent/effective response that answered all aspects of the questions being asked. Some powerpoint presentations were rushed through.</x:v>
      </x:c>
      <x:c r="L36" s="52" t="str">
        <x:v>Agree</x:v>
      </x:c>
      <x:c r="M36" s="52" t="str"/>
      <x:c r="N36" s="52" t="str"/>
      <x:c r="O36" s="52" t="str">
        <x:v>handouts and read-aheads for the next days class might have helped with the pacing</x:v>
      </x:c>
      <x:c r="P36" s="52" t="str">
        <x:v>Copies of the slides accessible on green would be great</x:v>
      </x:c>
      <x:c r="Q36" s="52" t="str">
        <x:v>overall a good course!</x:v>
      </x:c>
      <x:c r="R36" s="52" t="str">
        <x:v>Strongly agree</x:v>
      </x:c>
      <x:c r="S36" s="52" t="str">
        <x:v>Agree</x:v>
      </x:c>
      <x:c r="T36" s="52" t="str">
        <x:v>Agree</x:v>
      </x:c>
      <x:c r="U36" s="52" t="str">
        <x:v>Strongly agree</x:v>
      </x:c>
      <x:c r="V36" s="52" t="str"/>
      <x:c r="W36" s="52" t="str">
        <x:v>Agree</x:v>
      </x:c>
      <x:c r="X36" s="52" t="str">
        <x:v>Disagree</x:v>
      </x:c>
      <x:c r="Y36" s="52" t="str">
        <x:v>Disagree</x:v>
      </x:c>
      <x:c r="Z36" s="52" t="str">
        <x:v>Agree</x:v>
      </x:c>
      <x:c r="AA36" s="52" t="str">
        <x:v>Agree</x:v>
      </x:c>
      <x:c r="AB36" s="52" t="str">
        <x:v>Allow more squad or class collaboration time</x:v>
      </x:c>
      <x:c r="AC36" s="52" t="str">
        <x:v>The class would benefit from having more time to complete and review the evidence drops. Drop 6 especially contained too much data in my opinion to look through and generate a good response in the time allotted.</x:v>
      </x:c>
      <x:c r="AD36" s="52" t="str">
        <x:v>Agree</x:v>
      </x:c>
      <x:c r="AE36" s="52" t="str">
        <x:v>Strongly agree</x:v>
      </x:c>
      <x:c r="AF36" s="52" t="str">
        <x:v>Strongly agree</x:v>
      </x:c>
      <x:c r="AG36" s="52" t="str">
        <x:v>Strongly agree</x:v>
      </x:c>
      <x:c r="AH36" s="52" t="str">
        <x:v>The score tracker encouraged friendly competition between classmates and made learning objectives more meaningful.</x:v>
      </x:c>
      <x:c r="AI36" s="52" t="str"/>
      <x:c r="AJ36" s="52" t="str">
        <x:v>the app was buggy but Cody addressed the issues quickly and effectively</x:v>
      </x:c>
    </x:row>
  </x:sheetData>
  <x:mergeCells>
    <x:mergeCell ref="A1:AJ1"/>
    <x:mergeCell ref="A2:AJ2"/>
  </x:mergeCells>
  <x:pageMargins left="0.7" right="0.7" top="0.75" bottom="0.75" header="0.3" footer="0.3"/>
  <x:tableParts count="1">
    <x:tablePart xmlns:r="http://schemas.openxmlformats.org/officeDocument/2006/relationships" r:id="R775b8eb3ce424ae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30" hidden="0" customWidth="1"/>
    <x:col min="3" max="3" width="60" hidden="0" customWidth="1"/>
    <x:col min="4" max="4" width="12" hidden="0" customWidth="1"/>
    <x:col min="5" max="5" width="55" hidden="0" customWidth="1"/>
    <x:col min="6" max="6" width="12" hidden="0" customWidth="1"/>
  </x:cols>
  <x:sheetData>
    <x:row r="1" ht="30" customHeight="1">
      <x:c r="A1" s="8" t="str">
        <x:v>Survey Question Codebook</x:v>
      </x:c>
    </x:row>
    <x:row r="3" ht="34" customHeight="1">
      <x:c r="A3" s="18" t="str">
        <x:v>Question ID</x:v>
      </x:c>
      <x:c r="B3" s="18" t="str">
        <x:v>Section</x:v>
      </x:c>
      <x:c r="C3" s="18" t="str">
        <x:v>Prompt</x:v>
      </x:c>
      <x:c r="D3" s="18" t="str">
        <x:v>Type</x:v>
      </x:c>
      <x:c r="E3" s="18" t="str">
        <x:v>Answer Options</x:v>
      </x:c>
      <x:c r="F3" s="18" t="str">
        <x:v>Raw Column</x:v>
      </x:c>
    </x:row>
    <x:row r="4">
      <x:c r="A4" s="54" t="str">
        <x:v>q1</x:v>
      </x:c>
      <x:c r="B4" s="54" t="str">
        <x:v>Course Content</x:v>
      </x:c>
      <x:c r="C4" s="54" t="str">
        <x:v>The course objectives were clear from the beginning.</x:v>
      </x:c>
      <x:c r="D4" s="54" t="str">
        <x:v>single</x:v>
      </x:c>
      <x:c r="E4" s="54" t="str">
        <x:v>Strongly disagree | Disagree | Neutral | Agree | Strongly agree</x:v>
      </x:c>
      <x:c r="F4" s="54" t="str">
        <x:v>B</x:v>
      </x:c>
    </x:row>
    <x:row r="5">
      <x:c r="A5" s="54" t="str">
        <x:v>q2</x:v>
      </x:c>
      <x:c r="B5" s="54" t="str">
        <x:v>Course Content</x:v>
      </x:c>
      <x:c r="C5" s="54" t="str">
        <x:v>The course material was relevant to my role and learning goals.</x:v>
      </x:c>
      <x:c r="D5" s="54" t="str">
        <x:v>single</x:v>
      </x:c>
      <x:c r="E5" s="54" t="str">
        <x:v>Strongly disagree | Disagree | Neutral | Agree | Strongly agree</x:v>
      </x:c>
      <x:c r="F5" s="54" t="str">
        <x:v>C</x:v>
      </x:c>
    </x:row>
    <x:row r="6">
      <x:c r="A6" s="54" t="str">
        <x:v>q3</x:v>
      </x:c>
      <x:c r="B6" s="54" t="str">
        <x:v>Course Content</x:v>
      </x:c>
      <x:c r="C6" s="54" t="str">
        <x:v>The pacing of the course was appropriate.</x:v>
      </x:c>
      <x:c r="D6" s="54" t="str">
        <x:v>single</x:v>
      </x:c>
      <x:c r="E6" s="54" t="str">
        <x:v>Strongly disagree | Disagree | Neutral | Agree | Strongly agree</x:v>
      </x:c>
      <x:c r="F6" s="54" t="str">
        <x:v>D</x:v>
      </x:c>
    </x:row>
    <x:row r="7">
      <x:c r="A7" s="54" t="str">
        <x:v>q4</x:v>
      </x:c>
      <x:c r="B7" s="54" t="str">
        <x:v>Course Content</x:v>
      </x:c>
      <x:c r="C7" s="54" t="str">
        <x:v>Hands-on exercises reinforced key concepts effectively.</x:v>
      </x:c>
      <x:c r="D7" s="54" t="str">
        <x:v>single</x:v>
      </x:c>
      <x:c r="E7" s="54" t="str">
        <x:v>Strongly disagree | Disagree | Neutral | Agree | Strongly agree</x:v>
      </x:c>
      <x:c r="F7" s="54" t="str">
        <x:v>E</x:v>
      </x:c>
    </x:row>
    <x:row r="8">
      <x:c r="A8" s="54" t="str">
        <x:v>q5</x:v>
      </x:c>
      <x:c r="B8" s="54" t="str">
        <x:v>Course Content</x:v>
      </x:c>
      <x:c r="C8" s="54" t="str">
        <x:v>The instructor explanations were clear and actionable.</x:v>
      </x:c>
      <x:c r="D8" s="54" t="str">
        <x:v>single</x:v>
      </x:c>
      <x:c r="E8" s="54" t="str">
        <x:v>Strongly disagree | Disagree | Neutral | Agree | Strongly agree</x:v>
      </x:c>
      <x:c r="F8" s="54" t="str">
        <x:v>F</x:v>
      </x:c>
    </x:row>
    <x:row r="9">
      <x:c r="A9" s="54" t="str">
        <x:v>q6</x:v>
      </x:c>
      <x:c r="B9" s="54" t="str">
        <x:v>Course Content</x:v>
      </x:c>
      <x:c r="C9" s="54" t="str">
        <x:v>I can apply what I learned to real-world security work.</x:v>
      </x:c>
      <x:c r="D9" s="54" t="str">
        <x:v>single</x:v>
      </x:c>
      <x:c r="E9" s="54" t="str">
        <x:v>Strongly disagree | Disagree | Neutral | Agree | Strongly agree</x:v>
      </x:c>
      <x:c r="F9" s="54" t="str">
        <x:v>G</x:v>
      </x:c>
    </x:row>
    <x:row r="10">
      <x:c r="A10" s="54" t="str">
        <x:v>q7</x:v>
      </x:c>
      <x:c r="B10" s="54" t="str">
        <x:v>Course Content</x:v>
      </x:c>
      <x:c r="C10" s="54" t="str">
        <x:v>The challenge difficulty progression felt appropriate.</x:v>
      </x:c>
      <x:c r="D10" s="54" t="str">
        <x:v>single</x:v>
      </x:c>
      <x:c r="E10" s="54" t="str">
        <x:v>Strongly disagree | Disagree | Neutral | Agree | Strongly agree</x:v>
      </x:c>
      <x:c r="F10" s="54" t="str">
        <x:v>H</x:v>
      </x:c>
    </x:row>
    <x:row r="11">
      <x:c r="A11" s="54" t="str">
        <x:v>q8</x:v>
      </x:c>
      <x:c r="B11" s="54" t="str">
        <x:v>Course Content</x:v>
      </x:c>
      <x:c r="C11" s="54" t="str">
        <x:v>I would recommend this course to another analyst.</x:v>
      </x:c>
      <x:c r="D11" s="54" t="str">
        <x:v>single</x:v>
      </x:c>
      <x:c r="E11" s="54" t="str">
        <x:v>Strongly disagree | Disagree | Neutral | Agree | Strongly agree</x:v>
      </x:c>
      <x:c r="F11" s="54" t="str">
        <x:v>I</x:v>
      </x:c>
    </x:row>
    <x:row r="12">
      <x:c r="A12" s="54" t="str">
        <x:v>q9</x:v>
      </x:c>
      <x:c r="B12" s="54" t="str">
        <x:v>Course Content</x:v>
      </x:c>
      <x:c r="C12" s="54" t="str">
        <x:v>What was the most valuable part of the course?</x:v>
      </x:c>
      <x:c r="D12" s="54" t="str">
        <x:v>text</x:v>
      </x:c>
      <x:c r="E12" s="54" t="str"/>
      <x:c r="F12" s="54" t="str">
        <x:v>J</x:v>
      </x:c>
    </x:row>
    <x:row r="13">
      <x:c r="A13" s="54" t="str">
        <x:v>q10</x:v>
      </x:c>
      <x:c r="B13" s="54" t="str">
        <x:v>Course Content</x:v>
      </x:c>
      <x:c r="C13" s="54" t="str">
        <x:v>What should be improved in course content or delivery?</x:v>
      </x:c>
      <x:c r="D13" s="54" t="str">
        <x:v>text</x:v>
      </x:c>
      <x:c r="E13" s="54" t="str"/>
      <x:c r="F13" s="54" t="str">
        <x:v>K</x:v>
      </x:c>
    </x:row>
    <x:row r="14">
      <x:c r="A14" s="54" t="str">
        <x:v>q11</x:v>
      </x:c>
      <x:c r="B14" s="54" t="str">
        <x:v>Instruction &amp; Support</x:v>
      </x:c>
      <x:c r="C14" s="54" t="str">
        <x:v>Overall, how effective was the instructional experience?</x:v>
      </x:c>
      <x:c r="D14" s="54" t="str">
        <x:v>single</x:v>
      </x:c>
      <x:c r="E14" s="54" t="str">
        <x:v>Strongly disagree | Disagree | Neutral | Agree | Strongly agree</x:v>
      </x:c>
      <x:c r="F14" s="54" t="str">
        <x:v>L</x:v>
      </x:c>
    </x:row>
    <x:row r="15">
      <x:c r="A15" s="54" t="str">
        <x:v>q12</x:v>
      </x:c>
      <x:c r="B15" s="54" t="str">
        <x:v>Instruction &amp; Support</x:v>
      </x:c>
      <x:c r="C15" s="54" t="str">
        <x:v>Which concept was the most challenging for you?</x:v>
      </x:c>
      <x:c r="D15" s="54" t="str">
        <x:v>text</x:v>
      </x:c>
      <x:c r="E15" s="54" t="str"/>
      <x:c r="F15" s="54" t="str">
        <x:v>M</x:v>
      </x:c>
    </x:row>
    <x:row r="16">
      <x:c r="A16" s="54" t="str">
        <x:v>q13</x:v>
      </x:c>
      <x:c r="B16" s="54" t="str">
        <x:v>Instruction &amp; Support</x:v>
      </x:c>
      <x:c r="C16" s="54" t="str">
        <x:v>Which topics should be expanded in future cohorts?</x:v>
      </x:c>
      <x:c r="D16" s="54" t="str">
        <x:v>text</x:v>
      </x:c>
      <x:c r="E16" s="54" t="str"/>
      <x:c r="F16" s="54" t="str">
        <x:v>N</x:v>
      </x:c>
    </x:row>
    <x:row r="17">
      <x:c r="A17" s="54" t="str">
        <x:v>q14</x:v>
      </x:c>
      <x:c r="B17" s="54" t="str">
        <x:v>Instruction &amp; Support</x:v>
      </x:c>
      <x:c r="C17" s="54" t="str">
        <x:v>What additional resources would have helped you most?</x:v>
      </x:c>
      <x:c r="D17" s="54" t="str">
        <x:v>text</x:v>
      </x:c>
      <x:c r="E17" s="54" t="str"/>
      <x:c r="F17" s="54" t="str">
        <x:v>O</x:v>
      </x:c>
    </x:row>
    <x:row r="18">
      <x:c r="A18" s="54" t="str">
        <x:v>q15</x:v>
      </x:c>
      <x:c r="B18" s="54" t="str">
        <x:v>Instruction &amp; Support</x:v>
      </x:c>
      <x:c r="C18" s="54" t="str">
        <x:v>What follow-up support would you like after this course?</x:v>
      </x:c>
      <x:c r="D18" s="54" t="str">
        <x:v>text</x:v>
      </x:c>
      <x:c r="E18" s="54" t="str"/>
      <x:c r="F18" s="54" t="str">
        <x:v>P</x:v>
      </x:c>
    </x:row>
    <x:row r="19">
      <x:c r="A19" s="54" t="str">
        <x:v>q16</x:v>
      </x:c>
      <x:c r="B19" s="54" t="str">
        <x:v>Instruction &amp; Support</x:v>
      </x:c>
      <x:c r="C19" s="54" t="str">
        <x:v>Any other comments about instruction and facilitation?</x:v>
      </x:c>
      <x:c r="D19" s="54" t="str">
        <x:v>text</x:v>
      </x:c>
      <x:c r="E19" s="54" t="str"/>
      <x:c r="F19" s="54" t="str">
        <x:v>Q</x:v>
      </x:c>
    </x:row>
    <x:row r="20">
      <x:c r="A20" s="54" t="str">
        <x:v>q17</x:v>
      </x:c>
      <x:c r="B20" s="54" t="str">
        <x:v>Logistics</x:v>
      </x:c>
      <x:c r="C20" s="54" t="str">
        <x:v>The schedule and timing worked well for me.</x:v>
      </x:c>
      <x:c r="D20" s="54" t="str">
        <x:v>single</x:v>
      </x:c>
      <x:c r="E20" s="54" t="str">
        <x:v>Strongly disagree | Disagree | Neutral | Agree | Strongly agree</x:v>
      </x:c>
      <x:c r="F20" s="54" t="str">
        <x:v>R</x:v>
      </x:c>
    </x:row>
    <x:row r="21">
      <x:c r="A21" s="54" t="str">
        <x:v>q18</x:v>
      </x:c>
      <x:c r="B21" s="54" t="str">
        <x:v>Logistics</x:v>
      </x:c>
      <x:c r="C21" s="54" t="str">
        <x:v>The classroom setup and provided tools were sufficient.</x:v>
      </x:c>
      <x:c r="D21" s="54" t="str">
        <x:v>single</x:v>
      </x:c>
      <x:c r="E21" s="54" t="str">
        <x:v>Strongly disagree | Disagree | Neutral | Agree | Strongly agree</x:v>
      </x:c>
      <x:c r="F21" s="54" t="str">
        <x:v>S</x:v>
      </x:c>
    </x:row>
    <x:row r="22">
      <x:c r="A22" s="54" t="str">
        <x:v>q19</x:v>
      </x:c>
      <x:c r="B22" s="54" t="str">
        <x:v>Logistics</x:v>
      </x:c>
      <x:c r="C22" s="54" t="str">
        <x:v>The workload was manageable during the course.</x:v>
      </x:c>
      <x:c r="D22" s="54" t="str">
        <x:v>single</x:v>
      </x:c>
      <x:c r="E22" s="54" t="str">
        <x:v>Strongly disagree | Disagree | Neutral | Agree | Strongly agree</x:v>
      </x:c>
      <x:c r="F22" s="54" t="str">
        <x:v>T</x:v>
      </x:c>
    </x:row>
    <x:row r="23">
      <x:c r="A23" s="54" t="str">
        <x:v>q20</x:v>
      </x:c>
      <x:c r="B23" s="54" t="str">
        <x:v>Logistics</x:v>
      </x:c>
      <x:c r="C23" s="54" t="str">
        <x:v>Class communications and updates were timely and clear.</x:v>
      </x:c>
      <x:c r="D23" s="54" t="str">
        <x:v>single</x:v>
      </x:c>
      <x:c r="E23" s="54" t="str">
        <x:v>Strongly disagree | Disagree | Neutral | Agree | Strongly agree</x:v>
      </x:c>
      <x:c r="F23" s="54" t="str">
        <x:v>U</x:v>
      </x:c>
    </x:row>
    <x:row r="24">
      <x:c r="A24" s="54" t="str">
        <x:v>q21</x:v>
      </x:c>
      <x:c r="B24" s="54" t="str">
        <x:v>Logistics</x:v>
      </x:c>
      <x:c r="C24" s="54" t="str">
        <x:v>Please share any logistics feedback.</x:v>
      </x:c>
      <x:c r="D24" s="54" t="str">
        <x:v>text</x:v>
      </x:c>
      <x:c r="E24" s="54" t="str"/>
      <x:c r="F24" s="54" t="str">
        <x:v>V</x:v>
      </x:c>
    </x:row>
    <x:row r="25">
      <x:c r="A25" s="54" t="str">
        <x:v>q29</x:v>
      </x:c>
      <x:c r="B25" s="54" t="str">
        <x:v>Evidence Drop &amp; Investigation Format</x:v>
      </x:c>
      <x:c r="C25" s="54" t="str">
        <x:v>The course sequence—receiving an evidence drop, investigating it, and then collaborating with others—supported my learning.</x:v>
      </x:c>
      <x:c r="D25" s="54" t="str">
        <x:v>single</x:v>
      </x:c>
      <x:c r="E25" s="54" t="str">
        <x:v>Strongly disagree | Disagree | Neutral | Agree | Strongly agree</x:v>
      </x:c>
      <x:c r="F25" s="54" t="str">
        <x:v>W</x:v>
      </x:c>
    </x:row>
    <x:row r="26">
      <x:c r="A26" s="54" t="str">
        <x:v>q30</x:v>
      </x:c>
      <x:c r="B26" s="54" t="str">
        <x:v>Evidence Drop &amp; Investigation Format</x:v>
      </x:c>
      <x:c r="C26" s="54" t="str">
        <x:v>Evidence drops arrived at an appropriate pace and contained a manageable amount of information.</x:v>
      </x:c>
      <x:c r="D26" s="54" t="str">
        <x:v>single</x:v>
      </x:c>
      <x:c r="E26" s="54" t="str">
        <x:v>Strongly disagree | Disagree | Neutral | Agree | Strongly agree</x:v>
      </x:c>
      <x:c r="F26" s="54" t="str">
        <x:v>X</x:v>
      </x:c>
    </x:row>
    <x:row r="27">
      <x:c r="A27" s="54" t="str">
        <x:v>q31</x:v>
      </x:c>
      <x:c r="B27" s="54" t="str">
        <x:v>Evidence Drop &amp; Investigation Format</x:v>
      </x:c>
      <x:c r="C27" s="54" t="str">
        <x:v>I had enough time to investigate and form my own conclusions before collaborating with others.</x:v>
      </x:c>
      <x:c r="D27" s="54" t="str">
        <x:v>single</x:v>
      </x:c>
      <x:c r="E27" s="54" t="str">
        <x:v>Strongly disagree | Disagree | Neutral | Agree | Strongly agree</x:v>
      </x:c>
      <x:c r="F27" s="54" t="str">
        <x:v>Y</x:v>
      </x:c>
    </x:row>
    <x:row r="28">
      <x:c r="A28" s="54" t="str">
        <x:v>q32</x:v>
      </x:c>
      <x:c r="B28" s="54" t="str">
        <x:v>Evidence Drop &amp; Investigation Format</x:v>
      </x:c>
      <x:c r="C28" s="54" t="str">
        <x:v>Collaboration helped me identify connections, challenge assumptions, or reach conclusions I would not have reached alone.</x:v>
      </x:c>
      <x:c r="D28" s="54" t="str">
        <x:v>single</x:v>
      </x:c>
      <x:c r="E28" s="54" t="str">
        <x:v>Strongly disagree | Disagree | Neutral | Agree | Strongly agree</x:v>
      </x:c>
      <x:c r="F28" s="54" t="str">
        <x:v>Z</x:v>
      </x:c>
    </x:row>
    <x:row r="29">
      <x:c r="A29" s="54" t="str">
        <x:v>q33</x:v>
      </x:c>
      <x:c r="B29" s="54" t="str">
        <x:v>Evidence Drop &amp; Investigation Format</x:v>
      </x:c>
      <x:c r="C29" s="54" t="str">
        <x:v>The balance between individual investigation and squad/class collaboration was appropriate.</x:v>
      </x:c>
      <x:c r="D29" s="54" t="str">
        <x:v>single</x:v>
      </x:c>
      <x:c r="E29" s="54" t="str">
        <x:v>Strongly disagree | Disagree | Neutral | Agree | Strongly agree</x:v>
      </x:c>
      <x:c r="F29" s="54" t="str">
        <x:v>AA</x:v>
      </x:c>
    </x:row>
    <x:row r="30">
      <x:c r="A30" s="54" t="str">
        <x:v>q34</x:v>
      </x:c>
      <x:c r="B30" s="54" t="str">
        <x:v>Evidence Drop &amp; Investigation Format</x:v>
      </x:c>
      <x:c r="C30" s="54" t="str">
        <x:v>Which change would most improve the course format?</x:v>
      </x:c>
      <x:c r="D30" s="54" t="str">
        <x:v>single</x:v>
      </x:c>
      <x:c r="E30" s="54" t="str">
        <x:v>Keep the format as it is | Provide more briefing before each evidence drop | Allow more independent investigation time | Allow more squad or class collaboration time | Use smaller, more frequent evidence drops | Use fewer, larger evidence drops | Other (describe below)</x:v>
      </x:c>
      <x:c r="F30" s="54" t="str">
        <x:v>AB</x:v>
      </x:c>
    </x:row>
    <x:row r="31">
      <x:c r="A31" s="54" t="str">
        <x:v>q35</x:v>
      </x:c>
      <x:c r="B31" s="54" t="str">
        <x:v>Evidence Drop &amp; Investigation Format</x:v>
      </x:c>
      <x:c r="C31" s="54" t="str">
        <x:v>What specific changes, if any, would you recommend to the evidence drop, investigation, and collaboration format? Please explain what you would change and why.</x:v>
      </x:c>
      <x:c r="D31" s="54" t="str">
        <x:v>text</x:v>
      </x:c>
      <x:c r="E31" s="54" t="str"/>
      <x:c r="F31" s="54" t="str">
        <x:v>AC</x:v>
      </x:c>
    </x:row>
    <x:row r="32">
      <x:c r="A32" s="54" t="str">
        <x:v>q22</x:v>
      </x:c>
      <x:c r="B32" s="54" t="str">
        <x:v>Application Experience</x:v>
      </x:c>
      <x:c r="C32" s="54" t="str">
        <x:v>The application performed reliably during class exercises.</x:v>
      </x:c>
      <x:c r="D32" s="54" t="str">
        <x:v>single</x:v>
      </x:c>
      <x:c r="E32" s="54" t="str">
        <x:v>Strongly disagree | Disagree | Neutral | Agree | Strongly agree</x:v>
      </x:c>
      <x:c r="F32" s="54" t="str">
        <x:v>AD</x:v>
      </x:c>
    </x:row>
    <x:row r="33">
      <x:c r="A33" s="54" t="str">
        <x:v>q23</x:v>
      </x:c>
      <x:c r="B33" s="54" t="str">
        <x:v>Application Experience</x:v>
      </x:c>
      <x:c r="C33" s="54" t="str">
        <x:v>Pages and workflows loaded fast enough for class use.</x:v>
      </x:c>
      <x:c r="D33" s="54" t="str">
        <x:v>single</x:v>
      </x:c>
      <x:c r="E33" s="54" t="str">
        <x:v>Strongly disagree | Disagree | Neutral | Agree | Strongly agree</x:v>
      </x:c>
      <x:c r="F33" s="54" t="str">
        <x:v>AE</x:v>
      </x:c>
    </x:row>
    <x:row r="34">
      <x:c r="A34" s="54" t="str">
        <x:v>q24</x:v>
      </x:c>
      <x:c r="B34" s="54" t="str">
        <x:v>Application Experience</x:v>
      </x:c>
      <x:c r="C34" s="54" t="str">
        <x:v>The CTF and challenge tools were responsive.</x:v>
      </x:c>
      <x:c r="D34" s="54" t="str">
        <x:v>single</x:v>
      </x:c>
      <x:c r="E34" s="54" t="str">
        <x:v>Strongly disagree | Disagree | Neutral | Agree | Strongly agree</x:v>
      </x:c>
      <x:c r="F34" s="54" t="str">
        <x:v>AF</x:v>
      </x:c>
    </x:row>
    <x:row r="35">
      <x:c r="A35" s="54" t="str">
        <x:v>q25</x:v>
      </x:c>
      <x:c r="B35" s="54" t="str">
        <x:v>Application Experience</x:v>
      </x:c>
      <x:c r="C35" s="54" t="str">
        <x:v>I liked the application interface and usability.</x:v>
      </x:c>
      <x:c r="D35" s="54" t="str">
        <x:v>single</x:v>
      </x:c>
      <x:c r="E35" s="54" t="str">
        <x:v>Strongly disagree | Disagree | Neutral | Agree | Strongly agree</x:v>
      </x:c>
      <x:c r="F35" s="54" t="str">
        <x:v>AG</x:v>
      </x:c>
    </x:row>
    <x:row r="36">
      <x:c r="A36" s="54" t="str">
        <x:v>q26</x:v>
      </x:c>
      <x:c r="B36" s="54" t="str">
        <x:v>Application Experience</x:v>
      </x:c>
      <x:c r="C36" s="54" t="str">
        <x:v>What did you like most about the application?</x:v>
      </x:c>
      <x:c r="D36" s="54" t="str">
        <x:v>text</x:v>
      </x:c>
      <x:c r="E36" s="54" t="str"/>
      <x:c r="F36" s="54" t="str">
        <x:v>AH</x:v>
      </x:c>
    </x:row>
    <x:row r="37">
      <x:c r="A37" s="54" t="str">
        <x:v>q27</x:v>
      </x:c>
      <x:c r="B37" s="54" t="str">
        <x:v>Application Experience</x:v>
      </x:c>
      <x:c r="C37" s="54" t="str">
        <x:v>What app issue or bug affected you the most?</x:v>
      </x:c>
      <x:c r="D37" s="54" t="str">
        <x:v>text</x:v>
      </x:c>
      <x:c r="E37" s="54" t="str"/>
      <x:c r="F37" s="54" t="str">
        <x:v>AI</x:v>
      </x:c>
    </x:row>
    <x:row r="38">
      <x:c r="A38" s="54" t="str">
        <x:v>q28</x:v>
      </x:c>
      <x:c r="B38" s="54" t="str">
        <x:v>Application Experience</x:v>
      </x:c>
      <x:c r="C38" s="54" t="str">
        <x:v>What should we improve first in the application?</x:v>
      </x:c>
      <x:c r="D38" s="54" t="str">
        <x:v>text</x:v>
      </x:c>
      <x:c r="E38" s="54" t="str"/>
      <x:c r="F38" s="54" t="str">
        <x:v>AJ</x:v>
      </x:c>
    </x:row>
  </x:sheetData>
  <x:mergeCells>
    <x:mergeCell ref="A1:F1"/>
  </x:mergeCells>
  <x:pageMargins left="0.7" right="0.7" top="0.75" bottom="0.75" header="0.3" footer="0.3"/>
  <x:tableParts count="1">
    <x:tablePart xmlns:r="http://schemas.openxmlformats.org/officeDocument/2006/relationships" r:id="R4ca2a283dc8b47e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30" hidden="0" customWidth="1"/>
    <x:col min="3" max="3" width="38" hidden="0" customWidth="1"/>
    <x:col min="4" max="4" width="12" hidden="0" customWidth="1"/>
    <x:col min="5" max="5" width="12" hidden="0" customWidth="1"/>
    <x:col min="6" max="6" width="65" hidden="0" customWidth="1"/>
  </x:cols>
  <x:sheetData>
    <x:row r="1" ht="30" customHeight="1">
      <x:c r="A1" s="8" t="str">
        <x:v>Categorical Answer Distributions</x:v>
      </x:c>
    </x:row>
    <x:row r="3" ht="34" customHeight="1">
      <x:c r="A3" s="18" t="str">
        <x:v>Question ID</x:v>
      </x:c>
      <x:c r="B3" s="18" t="str">
        <x:v>Section</x:v>
      </x:c>
      <x:c r="C3" s="18" t="str">
        <x:v>Answer</x:v>
      </x:c>
      <x:c r="D3" s="18" t="str">
        <x:v>Count</x:v>
      </x:c>
      <x:c r="E3" s="18" t="str">
        <x:v>Percent</x:v>
      </x:c>
      <x:c r="F3" s="18" t="str">
        <x:v>Prompt</x:v>
      </x:c>
    </x:row>
    <x:row r="4">
      <x:c r="A4" s="54" t="str">
        <x:v>q1</x:v>
      </x:c>
      <x:c r="B4" s="54" t="str">
        <x:v>Course Content</x:v>
      </x:c>
      <x:c r="C4" s="54" t="str">
        <x:v>Strongly disagree</x:v>
      </x:c>
      <x:c r="D4" s="54" t="n">
        <x:f>COUNTIF('Raw Responses'!$B$5:$B$36,C4)</x:f>
        <x:v>0</x:v>
      </x:c>
      <x:c r="E4" s="58" t="n">
        <x:f>IFERROR(D4/COUNTA('Raw Responses'!$B$5:$B$36),0)</x:f>
        <x:v>0</x:v>
      </x:c>
      <x:c r="F4" s="54" t="str">
        <x:v>The course objectives were clear from the beginning.</x:v>
      </x:c>
    </x:row>
    <x:row r="5">
      <x:c r="A5" s="54" t="str">
        <x:v>q1</x:v>
      </x:c>
      <x:c r="B5" s="54" t="str">
        <x:v>Course Content</x:v>
      </x:c>
      <x:c r="C5" s="54" t="str">
        <x:v>Disagree</x:v>
      </x:c>
      <x:c r="D5" s="54" t="n">
        <x:f>COUNTIF('Raw Responses'!$B$5:$B$36,C5)</x:f>
        <x:v>3</x:v>
      </x:c>
      <x:c r="E5" s="58" t="n">
        <x:f>IFERROR(D5/COUNTA('Raw Responses'!$B$5:$B$36),0)</x:f>
        <x:v>0.09375</x:v>
      </x:c>
      <x:c r="F5" s="54" t="str">
        <x:v>The course objectives were clear from the beginning.</x:v>
      </x:c>
    </x:row>
    <x:row r="6">
      <x:c r="A6" s="54" t="str">
        <x:v>q1</x:v>
      </x:c>
      <x:c r="B6" s="54" t="str">
        <x:v>Course Content</x:v>
      </x:c>
      <x:c r="C6" s="54" t="str">
        <x:v>Neutral</x:v>
      </x:c>
      <x:c r="D6" s="54" t="n">
        <x:f>COUNTIF('Raw Responses'!$B$5:$B$36,C6)</x:f>
        <x:v>5</x:v>
      </x:c>
      <x:c r="E6" s="58" t="n">
        <x:f>IFERROR(D6/COUNTA('Raw Responses'!$B$5:$B$36),0)</x:f>
        <x:v>0.15625</x:v>
      </x:c>
      <x:c r="F6" s="54" t="str">
        <x:v>The course objectives were clear from the beginning.</x:v>
      </x:c>
    </x:row>
    <x:row r="7">
      <x:c r="A7" s="54" t="str">
        <x:v>q1</x:v>
      </x:c>
      <x:c r="B7" s="54" t="str">
        <x:v>Course Content</x:v>
      </x:c>
      <x:c r="C7" s="54" t="str">
        <x:v>Agree</x:v>
      </x:c>
      <x:c r="D7" s="54" t="n">
        <x:f>COUNTIF('Raw Responses'!$B$5:$B$36,C7)</x:f>
        <x:v>18</x:v>
      </x:c>
      <x:c r="E7" s="58" t="n">
        <x:f>IFERROR(D7/COUNTA('Raw Responses'!$B$5:$B$36),0)</x:f>
        <x:v>0.5625</x:v>
      </x:c>
      <x:c r="F7" s="54" t="str">
        <x:v>The course objectives were clear from the beginning.</x:v>
      </x:c>
    </x:row>
    <x:row r="8">
      <x:c r="A8" s="54" t="str">
        <x:v>q1</x:v>
      </x:c>
      <x:c r="B8" s="54" t="str">
        <x:v>Course Content</x:v>
      </x:c>
      <x:c r="C8" s="54" t="str">
        <x:v>Strongly agree</x:v>
      </x:c>
      <x:c r="D8" s="54" t="n">
        <x:f>COUNTIF('Raw Responses'!$B$5:$B$36,C8)</x:f>
        <x:v>6</x:v>
      </x:c>
      <x:c r="E8" s="58" t="n">
        <x:f>IFERROR(D8/COUNTA('Raw Responses'!$B$5:$B$36),0)</x:f>
        <x:v>0.1875</x:v>
      </x:c>
      <x:c r="F8" s="54" t="str">
        <x:v>The course objectives were clear from the beginning.</x:v>
      </x:c>
    </x:row>
    <x:row r="9">
      <x:c r="A9" s="54" t="str">
        <x:v>q2</x:v>
      </x:c>
      <x:c r="B9" s="54" t="str">
        <x:v>Course Content</x:v>
      </x:c>
      <x:c r="C9" s="54" t="str">
        <x:v>Strongly disagree</x:v>
      </x:c>
      <x:c r="D9" s="54" t="n">
        <x:f>COUNTIF('Raw Responses'!$C$5:$C$36,C9)</x:f>
        <x:v>0</x:v>
      </x:c>
      <x:c r="E9" s="58" t="n">
        <x:f>IFERROR(D9/COUNTA('Raw Responses'!$C$5:$C$36),0)</x:f>
        <x:v>0</x:v>
      </x:c>
      <x:c r="F9" s="54" t="str">
        <x:v>The course material was relevant to my role and learning goals.</x:v>
      </x:c>
    </x:row>
    <x:row r="10">
      <x:c r="A10" s="54" t="str">
        <x:v>q2</x:v>
      </x:c>
      <x:c r="B10" s="54" t="str">
        <x:v>Course Content</x:v>
      </x:c>
      <x:c r="C10" s="54" t="str">
        <x:v>Disagree</x:v>
      </x:c>
      <x:c r="D10" s="54" t="n">
        <x:f>COUNTIF('Raw Responses'!$C$5:$C$36,C10)</x:f>
        <x:v>1</x:v>
      </x:c>
      <x:c r="E10" s="58" t="n">
        <x:f>IFERROR(D10/COUNTA('Raw Responses'!$C$5:$C$36),0)</x:f>
        <x:v>0.03125</x:v>
      </x:c>
      <x:c r="F10" s="54" t="str">
        <x:v>The course material was relevant to my role and learning goals.</x:v>
      </x:c>
    </x:row>
    <x:row r="11">
      <x:c r="A11" s="54" t="str">
        <x:v>q2</x:v>
      </x:c>
      <x:c r="B11" s="54" t="str">
        <x:v>Course Content</x:v>
      </x:c>
      <x:c r="C11" s="54" t="str">
        <x:v>Neutral</x:v>
      </x:c>
      <x:c r="D11" s="54" t="n">
        <x:f>COUNTIF('Raw Responses'!$C$5:$C$36,C11)</x:f>
        <x:v>7</x:v>
      </x:c>
      <x:c r="E11" s="58" t="n">
        <x:f>IFERROR(D11/COUNTA('Raw Responses'!$C$5:$C$36),0)</x:f>
        <x:v>0.21875</x:v>
      </x:c>
      <x:c r="F11" s="54" t="str">
        <x:v>The course material was relevant to my role and learning goals.</x:v>
      </x:c>
    </x:row>
    <x:row r="12">
      <x:c r="A12" s="54" t="str">
        <x:v>q2</x:v>
      </x:c>
      <x:c r="B12" s="54" t="str">
        <x:v>Course Content</x:v>
      </x:c>
      <x:c r="C12" s="54" t="str">
        <x:v>Agree</x:v>
      </x:c>
      <x:c r="D12" s="54" t="n">
        <x:f>COUNTIF('Raw Responses'!$C$5:$C$36,C12)</x:f>
        <x:v>13</x:v>
      </x:c>
      <x:c r="E12" s="58" t="n">
        <x:f>IFERROR(D12/COUNTA('Raw Responses'!$C$5:$C$36),0)</x:f>
        <x:v>0.40625</x:v>
      </x:c>
      <x:c r="F12" s="54" t="str">
        <x:v>The course material was relevant to my role and learning goals.</x:v>
      </x:c>
    </x:row>
    <x:row r="13">
      <x:c r="A13" s="54" t="str">
        <x:v>q2</x:v>
      </x:c>
      <x:c r="B13" s="54" t="str">
        <x:v>Course Content</x:v>
      </x:c>
      <x:c r="C13" s="54" t="str">
        <x:v>Strongly agree</x:v>
      </x:c>
      <x:c r="D13" s="54" t="n">
        <x:f>COUNTIF('Raw Responses'!$C$5:$C$36,C13)</x:f>
        <x:v>11</x:v>
      </x:c>
      <x:c r="E13" s="58" t="n">
        <x:f>IFERROR(D13/COUNTA('Raw Responses'!$C$5:$C$36),0)</x:f>
        <x:v>0.34375</x:v>
      </x:c>
      <x:c r="F13" s="54" t="str">
        <x:v>The course material was relevant to my role and learning goals.</x:v>
      </x:c>
    </x:row>
    <x:row r="14">
      <x:c r="A14" s="54" t="str">
        <x:v>q3</x:v>
      </x:c>
      <x:c r="B14" s="54" t="str">
        <x:v>Course Content</x:v>
      </x:c>
      <x:c r="C14" s="54" t="str">
        <x:v>Strongly disagree</x:v>
      </x:c>
      <x:c r="D14" s="54" t="n">
        <x:f>COUNTIF('Raw Responses'!$D$5:$D$36,C14)</x:f>
        <x:v>1</x:v>
      </x:c>
      <x:c r="E14" s="58" t="n">
        <x:f>IFERROR(D14/COUNTA('Raw Responses'!$D$5:$D$36),0)</x:f>
        <x:v>0.03125</x:v>
      </x:c>
      <x:c r="F14" s="54" t="str">
        <x:v>The pacing of the course was appropriate.</x:v>
      </x:c>
    </x:row>
    <x:row r="15">
      <x:c r="A15" s="54" t="str">
        <x:v>q3</x:v>
      </x:c>
      <x:c r="B15" s="54" t="str">
        <x:v>Course Content</x:v>
      </x:c>
      <x:c r="C15" s="54" t="str">
        <x:v>Disagree</x:v>
      </x:c>
      <x:c r="D15" s="54" t="n">
        <x:f>COUNTIF('Raw Responses'!$D$5:$D$36,C15)</x:f>
        <x:v>10</x:v>
      </x:c>
      <x:c r="E15" s="58" t="n">
        <x:f>IFERROR(D15/COUNTA('Raw Responses'!$D$5:$D$36),0)</x:f>
        <x:v>0.3125</x:v>
      </x:c>
      <x:c r="F15" s="54" t="str">
        <x:v>The pacing of the course was appropriate.</x:v>
      </x:c>
    </x:row>
    <x:row r="16">
      <x:c r="A16" s="54" t="str">
        <x:v>q3</x:v>
      </x:c>
      <x:c r="B16" s="54" t="str">
        <x:v>Course Content</x:v>
      </x:c>
      <x:c r="C16" s="54" t="str">
        <x:v>Neutral</x:v>
      </x:c>
      <x:c r="D16" s="54" t="n">
        <x:f>COUNTIF('Raw Responses'!$D$5:$D$36,C16)</x:f>
        <x:v>9</x:v>
      </x:c>
      <x:c r="E16" s="58" t="n">
        <x:f>IFERROR(D16/COUNTA('Raw Responses'!$D$5:$D$36),0)</x:f>
        <x:v>0.28125</x:v>
      </x:c>
      <x:c r="F16" s="54" t="str">
        <x:v>The pacing of the course was appropriate.</x:v>
      </x:c>
    </x:row>
    <x:row r="17">
      <x:c r="A17" s="54" t="str">
        <x:v>q3</x:v>
      </x:c>
      <x:c r="B17" s="54" t="str">
        <x:v>Course Content</x:v>
      </x:c>
      <x:c r="C17" s="54" t="str">
        <x:v>Agree</x:v>
      </x:c>
      <x:c r="D17" s="54" t="n">
        <x:f>COUNTIF('Raw Responses'!$D$5:$D$36,C17)</x:f>
        <x:v>7</x:v>
      </x:c>
      <x:c r="E17" s="58" t="n">
        <x:f>IFERROR(D17/COUNTA('Raw Responses'!$D$5:$D$36),0)</x:f>
        <x:v>0.21875</x:v>
      </x:c>
      <x:c r="F17" s="54" t="str">
        <x:v>The pacing of the course was appropriate.</x:v>
      </x:c>
    </x:row>
    <x:row r="18">
      <x:c r="A18" s="54" t="str">
        <x:v>q3</x:v>
      </x:c>
      <x:c r="B18" s="54" t="str">
        <x:v>Course Content</x:v>
      </x:c>
      <x:c r="C18" s="54" t="str">
        <x:v>Strongly agree</x:v>
      </x:c>
      <x:c r="D18" s="54" t="n">
        <x:f>COUNTIF('Raw Responses'!$D$5:$D$36,C18)</x:f>
        <x:v>5</x:v>
      </x:c>
      <x:c r="E18" s="58" t="n">
        <x:f>IFERROR(D18/COUNTA('Raw Responses'!$D$5:$D$36),0)</x:f>
        <x:v>0.15625</x:v>
      </x:c>
      <x:c r="F18" s="54" t="str">
        <x:v>The pacing of the course was appropriate.</x:v>
      </x:c>
    </x:row>
    <x:row r="19">
      <x:c r="A19" s="54" t="str">
        <x:v>q4</x:v>
      </x:c>
      <x:c r="B19" s="54" t="str">
        <x:v>Course Content</x:v>
      </x:c>
      <x:c r="C19" s="54" t="str">
        <x:v>Strongly disagree</x:v>
      </x:c>
      <x:c r="D19" s="54" t="n">
        <x:f>COUNTIF('Raw Responses'!$E$5:$E$36,C19)</x:f>
        <x:v>1</x:v>
      </x:c>
      <x:c r="E19" s="58" t="n">
        <x:f>IFERROR(D19/COUNTA('Raw Responses'!$E$5:$E$36),0)</x:f>
        <x:v>0.03125</x:v>
      </x:c>
      <x:c r="F19" s="54" t="str">
        <x:v>Hands-on exercises reinforced key concepts effectively.</x:v>
      </x:c>
    </x:row>
    <x:row r="20">
      <x:c r="A20" s="54" t="str">
        <x:v>q4</x:v>
      </x:c>
      <x:c r="B20" s="54" t="str">
        <x:v>Course Content</x:v>
      </x:c>
      <x:c r="C20" s="54" t="str">
        <x:v>Disagree</x:v>
      </x:c>
      <x:c r="D20" s="54" t="n">
        <x:f>COUNTIF('Raw Responses'!$E$5:$E$36,C20)</x:f>
        <x:v>3</x:v>
      </x:c>
      <x:c r="E20" s="58" t="n">
        <x:f>IFERROR(D20/COUNTA('Raw Responses'!$E$5:$E$36),0)</x:f>
        <x:v>0.09375</x:v>
      </x:c>
      <x:c r="F20" s="54" t="str">
        <x:v>Hands-on exercises reinforced key concepts effectively.</x:v>
      </x:c>
    </x:row>
    <x:row r="21">
      <x:c r="A21" s="54" t="str">
        <x:v>q4</x:v>
      </x:c>
      <x:c r="B21" s="54" t="str">
        <x:v>Course Content</x:v>
      </x:c>
      <x:c r="C21" s="54" t="str">
        <x:v>Neutral</x:v>
      </x:c>
      <x:c r="D21" s="54" t="n">
        <x:f>COUNTIF('Raw Responses'!$E$5:$E$36,C21)</x:f>
        <x:v>7</x:v>
      </x:c>
      <x:c r="E21" s="58" t="n">
        <x:f>IFERROR(D21/COUNTA('Raw Responses'!$E$5:$E$36),0)</x:f>
        <x:v>0.21875</x:v>
      </x:c>
      <x:c r="F21" s="54" t="str">
        <x:v>Hands-on exercises reinforced key concepts effectively.</x:v>
      </x:c>
    </x:row>
    <x:row r="22">
      <x:c r="A22" s="54" t="str">
        <x:v>q4</x:v>
      </x:c>
      <x:c r="B22" s="54" t="str">
        <x:v>Course Content</x:v>
      </x:c>
      <x:c r="C22" s="54" t="str">
        <x:v>Agree</x:v>
      </x:c>
      <x:c r="D22" s="54" t="n">
        <x:f>COUNTIF('Raw Responses'!$E$5:$E$36,C22)</x:f>
        <x:v>14</x:v>
      </x:c>
      <x:c r="E22" s="58" t="n">
        <x:f>IFERROR(D22/COUNTA('Raw Responses'!$E$5:$E$36),0)</x:f>
        <x:v>0.4375</x:v>
      </x:c>
      <x:c r="F22" s="54" t="str">
        <x:v>Hands-on exercises reinforced key concepts effectively.</x:v>
      </x:c>
    </x:row>
    <x:row r="23">
      <x:c r="A23" s="54" t="str">
        <x:v>q4</x:v>
      </x:c>
      <x:c r="B23" s="54" t="str">
        <x:v>Course Content</x:v>
      </x:c>
      <x:c r="C23" s="54" t="str">
        <x:v>Strongly agree</x:v>
      </x:c>
      <x:c r="D23" s="54" t="n">
        <x:f>COUNTIF('Raw Responses'!$E$5:$E$36,C23)</x:f>
        <x:v>7</x:v>
      </x:c>
      <x:c r="E23" s="58" t="n">
        <x:f>IFERROR(D23/COUNTA('Raw Responses'!$E$5:$E$36),0)</x:f>
        <x:v>0.21875</x:v>
      </x:c>
      <x:c r="F23" s="54" t="str">
        <x:v>Hands-on exercises reinforced key concepts effectively.</x:v>
      </x:c>
    </x:row>
    <x:row r="24">
      <x:c r="A24" s="54" t="str">
        <x:v>q5</x:v>
      </x:c>
      <x:c r="B24" s="54" t="str">
        <x:v>Course Content</x:v>
      </x:c>
      <x:c r="C24" s="54" t="str">
        <x:v>Strongly disagree</x:v>
      </x:c>
      <x:c r="D24" s="54" t="n">
        <x:f>COUNTIF('Raw Responses'!$F$5:$F$36,C24)</x:f>
        <x:v>0</x:v>
      </x:c>
      <x:c r="E24" s="58" t="n">
        <x:f>IFERROR(D24/COUNTA('Raw Responses'!$F$5:$F$36),0)</x:f>
        <x:v>0</x:v>
      </x:c>
      <x:c r="F24" s="54" t="str">
        <x:v>The instructor explanations were clear and actionable.</x:v>
      </x:c>
    </x:row>
    <x:row r="25">
      <x:c r="A25" s="54" t="str">
        <x:v>q5</x:v>
      </x:c>
      <x:c r="B25" s="54" t="str">
        <x:v>Course Content</x:v>
      </x:c>
      <x:c r="C25" s="54" t="str">
        <x:v>Disagree</x:v>
      </x:c>
      <x:c r="D25" s="54" t="n">
        <x:f>COUNTIF('Raw Responses'!$F$5:$F$36,C25)</x:f>
        <x:v>1</x:v>
      </x:c>
      <x:c r="E25" s="58" t="n">
        <x:f>IFERROR(D25/COUNTA('Raw Responses'!$F$5:$F$36),0)</x:f>
        <x:v>0.03125</x:v>
      </x:c>
      <x:c r="F25" s="54" t="str">
        <x:v>The instructor explanations were clear and actionable.</x:v>
      </x:c>
    </x:row>
    <x:row r="26">
      <x:c r="A26" s="54" t="str">
        <x:v>q5</x:v>
      </x:c>
      <x:c r="B26" s="54" t="str">
        <x:v>Course Content</x:v>
      </x:c>
      <x:c r="C26" s="54" t="str">
        <x:v>Neutral</x:v>
      </x:c>
      <x:c r="D26" s="54" t="n">
        <x:f>COUNTIF('Raw Responses'!$F$5:$F$36,C26)</x:f>
        <x:v>2</x:v>
      </x:c>
      <x:c r="E26" s="58" t="n">
        <x:f>IFERROR(D26/COUNTA('Raw Responses'!$F$5:$F$36),0)</x:f>
        <x:v>0.0625</x:v>
      </x:c>
      <x:c r="F26" s="54" t="str">
        <x:v>The instructor explanations were clear and actionable.</x:v>
      </x:c>
    </x:row>
    <x:row r="27">
      <x:c r="A27" s="54" t="str">
        <x:v>q5</x:v>
      </x:c>
      <x:c r="B27" s="54" t="str">
        <x:v>Course Content</x:v>
      </x:c>
      <x:c r="C27" s="54" t="str">
        <x:v>Agree</x:v>
      </x:c>
      <x:c r="D27" s="54" t="n">
        <x:f>COUNTIF('Raw Responses'!$F$5:$F$36,C27)</x:f>
        <x:v>19</x:v>
      </x:c>
      <x:c r="E27" s="58" t="n">
        <x:f>IFERROR(D27/COUNTA('Raw Responses'!$F$5:$F$36),0)</x:f>
        <x:v>0.59375</x:v>
      </x:c>
      <x:c r="F27" s="54" t="str">
        <x:v>The instructor explanations were clear and actionable.</x:v>
      </x:c>
    </x:row>
    <x:row r="28">
      <x:c r="A28" s="54" t="str">
        <x:v>q5</x:v>
      </x:c>
      <x:c r="B28" s="54" t="str">
        <x:v>Course Content</x:v>
      </x:c>
      <x:c r="C28" s="54" t="str">
        <x:v>Strongly agree</x:v>
      </x:c>
      <x:c r="D28" s="54" t="n">
        <x:f>COUNTIF('Raw Responses'!$F$5:$F$36,C28)</x:f>
        <x:v>10</x:v>
      </x:c>
      <x:c r="E28" s="58" t="n">
        <x:f>IFERROR(D28/COUNTA('Raw Responses'!$F$5:$F$36),0)</x:f>
        <x:v>0.3125</x:v>
      </x:c>
      <x:c r="F28" s="54" t="str">
        <x:v>The instructor explanations were clear and actionable.</x:v>
      </x:c>
    </x:row>
    <x:row r="29">
      <x:c r="A29" s="54" t="str">
        <x:v>q6</x:v>
      </x:c>
      <x:c r="B29" s="54" t="str">
        <x:v>Course Content</x:v>
      </x:c>
      <x:c r="C29" s="54" t="str">
        <x:v>Strongly disagree</x:v>
      </x:c>
      <x:c r="D29" s="54" t="n">
        <x:f>COUNTIF('Raw Responses'!$G$5:$G$36,C29)</x:f>
        <x:v>0</x:v>
      </x:c>
      <x:c r="E29" s="58" t="n">
        <x:f>IFERROR(D29/COUNTA('Raw Responses'!$G$5:$G$36),0)</x:f>
        <x:v>0</x:v>
      </x:c>
      <x:c r="F29" s="54" t="str">
        <x:v>I can apply what I learned to real-world security work.</x:v>
      </x:c>
    </x:row>
    <x:row r="30">
      <x:c r="A30" s="54" t="str">
        <x:v>q6</x:v>
      </x:c>
      <x:c r="B30" s="54" t="str">
        <x:v>Course Content</x:v>
      </x:c>
      <x:c r="C30" s="54" t="str">
        <x:v>Disagree</x:v>
      </x:c>
      <x:c r="D30" s="54" t="n">
        <x:f>COUNTIF('Raw Responses'!$G$5:$G$36,C30)</x:f>
        <x:v>0</x:v>
      </x:c>
      <x:c r="E30" s="58" t="n">
        <x:f>IFERROR(D30/COUNTA('Raw Responses'!$G$5:$G$36),0)</x:f>
        <x:v>0</x:v>
      </x:c>
      <x:c r="F30" s="54" t="str">
        <x:v>I can apply what I learned to real-world security work.</x:v>
      </x:c>
    </x:row>
    <x:row r="31">
      <x:c r="A31" s="54" t="str">
        <x:v>q6</x:v>
      </x:c>
      <x:c r="B31" s="54" t="str">
        <x:v>Course Content</x:v>
      </x:c>
      <x:c r="C31" s="54" t="str">
        <x:v>Neutral</x:v>
      </x:c>
      <x:c r="D31" s="54" t="n">
        <x:f>COUNTIF('Raw Responses'!$G$5:$G$36,C31)</x:f>
        <x:v>2</x:v>
      </x:c>
      <x:c r="E31" s="58" t="n">
        <x:f>IFERROR(D31/COUNTA('Raw Responses'!$G$5:$G$36),0)</x:f>
        <x:v>0.0625</x:v>
      </x:c>
      <x:c r="F31" s="54" t="str">
        <x:v>I can apply what I learned to real-world security work.</x:v>
      </x:c>
    </x:row>
    <x:row r="32">
      <x:c r="A32" s="54" t="str">
        <x:v>q6</x:v>
      </x:c>
      <x:c r="B32" s="54" t="str">
        <x:v>Course Content</x:v>
      </x:c>
      <x:c r="C32" s="54" t="str">
        <x:v>Agree</x:v>
      </x:c>
      <x:c r="D32" s="54" t="n">
        <x:f>COUNTIF('Raw Responses'!$G$5:$G$36,C32)</x:f>
        <x:v>19</x:v>
      </x:c>
      <x:c r="E32" s="58" t="n">
        <x:f>IFERROR(D32/COUNTA('Raw Responses'!$G$5:$G$36),0)</x:f>
        <x:v>0.59375</x:v>
      </x:c>
      <x:c r="F32" s="54" t="str">
        <x:v>I can apply what I learned to real-world security work.</x:v>
      </x:c>
    </x:row>
    <x:row r="33">
      <x:c r="A33" s="54" t="str">
        <x:v>q6</x:v>
      </x:c>
      <x:c r="B33" s="54" t="str">
        <x:v>Course Content</x:v>
      </x:c>
      <x:c r="C33" s="54" t="str">
        <x:v>Strongly agree</x:v>
      </x:c>
      <x:c r="D33" s="54" t="n">
        <x:f>COUNTIF('Raw Responses'!$G$5:$G$36,C33)</x:f>
        <x:v>11</x:v>
      </x:c>
      <x:c r="E33" s="58" t="n">
        <x:f>IFERROR(D33/COUNTA('Raw Responses'!$G$5:$G$36),0)</x:f>
        <x:v>0.34375</x:v>
      </x:c>
      <x:c r="F33" s="54" t="str">
        <x:v>I can apply what I learned to real-world security work.</x:v>
      </x:c>
    </x:row>
    <x:row r="34">
      <x:c r="A34" s="54" t="str">
        <x:v>q7</x:v>
      </x:c>
      <x:c r="B34" s="54" t="str">
        <x:v>Course Content</x:v>
      </x:c>
      <x:c r="C34" s="54" t="str">
        <x:v>Strongly disagree</x:v>
      </x:c>
      <x:c r="D34" s="54" t="n">
        <x:f>COUNTIF('Raw Responses'!$H$5:$H$36,C34)</x:f>
        <x:v>0</x:v>
      </x:c>
      <x:c r="E34" s="58" t="n">
        <x:f>IFERROR(D34/COUNTA('Raw Responses'!$H$5:$H$36),0)</x:f>
        <x:v>0</x:v>
      </x:c>
      <x:c r="F34" s="54" t="str">
        <x:v>The challenge difficulty progression felt appropriate.</x:v>
      </x:c>
    </x:row>
    <x:row r="35">
      <x:c r="A35" s="54" t="str">
        <x:v>q7</x:v>
      </x:c>
      <x:c r="B35" s="54" t="str">
        <x:v>Course Content</x:v>
      </x:c>
      <x:c r="C35" s="54" t="str">
        <x:v>Disagree</x:v>
      </x:c>
      <x:c r="D35" s="54" t="n">
        <x:f>COUNTIF('Raw Responses'!$H$5:$H$36,C35)</x:f>
        <x:v>3</x:v>
      </x:c>
      <x:c r="E35" s="58" t="n">
        <x:f>IFERROR(D35/COUNTA('Raw Responses'!$H$5:$H$36),0)</x:f>
        <x:v>0.09375</x:v>
      </x:c>
      <x:c r="F35" s="54" t="str">
        <x:v>The challenge difficulty progression felt appropriate.</x:v>
      </x:c>
    </x:row>
    <x:row r="36">
      <x:c r="A36" s="54" t="str">
        <x:v>q7</x:v>
      </x:c>
      <x:c r="B36" s="54" t="str">
        <x:v>Course Content</x:v>
      </x:c>
      <x:c r="C36" s="54" t="str">
        <x:v>Neutral</x:v>
      </x:c>
      <x:c r="D36" s="54" t="n">
        <x:f>COUNTIF('Raw Responses'!$H$5:$H$36,C36)</x:f>
        <x:v>3</x:v>
      </x:c>
      <x:c r="E36" s="58" t="n">
        <x:f>IFERROR(D36/COUNTA('Raw Responses'!$H$5:$H$36),0)</x:f>
        <x:v>0.09375</x:v>
      </x:c>
      <x:c r="F36" s="54" t="str">
        <x:v>The challenge difficulty progression felt appropriate.</x:v>
      </x:c>
    </x:row>
    <x:row r="37">
      <x:c r="A37" s="54" t="str">
        <x:v>q7</x:v>
      </x:c>
      <x:c r="B37" s="54" t="str">
        <x:v>Course Content</x:v>
      </x:c>
      <x:c r="C37" s="54" t="str">
        <x:v>Agree</x:v>
      </x:c>
      <x:c r="D37" s="54" t="n">
        <x:f>COUNTIF('Raw Responses'!$H$5:$H$36,C37)</x:f>
        <x:v>18</x:v>
      </x:c>
      <x:c r="E37" s="58" t="n">
        <x:f>IFERROR(D37/COUNTA('Raw Responses'!$H$5:$H$36),0)</x:f>
        <x:v>0.5625</x:v>
      </x:c>
      <x:c r="F37" s="54" t="str">
        <x:v>The challenge difficulty progression felt appropriate.</x:v>
      </x:c>
    </x:row>
    <x:row r="38">
      <x:c r="A38" s="54" t="str">
        <x:v>q7</x:v>
      </x:c>
      <x:c r="B38" s="54" t="str">
        <x:v>Course Content</x:v>
      </x:c>
      <x:c r="C38" s="54" t="str">
        <x:v>Strongly agree</x:v>
      </x:c>
      <x:c r="D38" s="54" t="n">
        <x:f>COUNTIF('Raw Responses'!$H$5:$H$36,C38)</x:f>
        <x:v>8</x:v>
      </x:c>
      <x:c r="E38" s="58" t="n">
        <x:f>IFERROR(D38/COUNTA('Raw Responses'!$H$5:$H$36),0)</x:f>
        <x:v>0.25</x:v>
      </x:c>
      <x:c r="F38" s="54" t="str">
        <x:v>The challenge difficulty progression felt appropriate.</x:v>
      </x:c>
    </x:row>
    <x:row r="39">
      <x:c r="A39" s="54" t="str">
        <x:v>q8</x:v>
      </x:c>
      <x:c r="B39" s="54" t="str">
        <x:v>Course Content</x:v>
      </x:c>
      <x:c r="C39" s="54" t="str">
        <x:v>Strongly disagree</x:v>
      </x:c>
      <x:c r="D39" s="54" t="n">
        <x:f>COUNTIF('Raw Responses'!$I$5:$I$36,C39)</x:f>
        <x:v>0</x:v>
      </x:c>
      <x:c r="E39" s="58" t="n">
        <x:f>IFERROR(D39/COUNTA('Raw Responses'!$I$5:$I$36),0)</x:f>
        <x:v>0</x:v>
      </x:c>
      <x:c r="F39" s="54" t="str">
        <x:v>I would recommend this course to another analyst.</x:v>
      </x:c>
    </x:row>
    <x:row r="40">
      <x:c r="A40" s="54" t="str">
        <x:v>q8</x:v>
      </x:c>
      <x:c r="B40" s="54" t="str">
        <x:v>Course Content</x:v>
      </x:c>
      <x:c r="C40" s="54" t="str">
        <x:v>Disagree</x:v>
      </x:c>
      <x:c r="D40" s="54" t="n">
        <x:f>COUNTIF('Raw Responses'!$I$5:$I$36,C40)</x:f>
        <x:v>0</x:v>
      </x:c>
      <x:c r="E40" s="58" t="n">
        <x:f>IFERROR(D40/COUNTA('Raw Responses'!$I$5:$I$36),0)</x:f>
        <x:v>0</x:v>
      </x:c>
      <x:c r="F40" s="54" t="str">
        <x:v>I would recommend this course to another analyst.</x:v>
      </x:c>
    </x:row>
    <x:row r="41">
      <x:c r="A41" s="54" t="str">
        <x:v>q8</x:v>
      </x:c>
      <x:c r="B41" s="54" t="str">
        <x:v>Course Content</x:v>
      </x:c>
      <x:c r="C41" s="54" t="str">
        <x:v>Neutral</x:v>
      </x:c>
      <x:c r="D41" s="54" t="n">
        <x:f>COUNTIF('Raw Responses'!$I$5:$I$36,C41)</x:f>
        <x:v>5</x:v>
      </x:c>
      <x:c r="E41" s="58" t="n">
        <x:f>IFERROR(D41/COUNTA('Raw Responses'!$I$5:$I$36),0)</x:f>
        <x:v>0.15625</x:v>
      </x:c>
      <x:c r="F41" s="54" t="str">
        <x:v>I would recommend this course to another analyst.</x:v>
      </x:c>
    </x:row>
    <x:row r="42">
      <x:c r="A42" s="54" t="str">
        <x:v>q8</x:v>
      </x:c>
      <x:c r="B42" s="54" t="str">
        <x:v>Course Content</x:v>
      </x:c>
      <x:c r="C42" s="54" t="str">
        <x:v>Agree</x:v>
      </x:c>
      <x:c r="D42" s="54" t="n">
        <x:f>COUNTIF('Raw Responses'!$I$5:$I$36,C42)</x:f>
        <x:v>18</x:v>
      </x:c>
      <x:c r="E42" s="58" t="n">
        <x:f>IFERROR(D42/COUNTA('Raw Responses'!$I$5:$I$36),0)</x:f>
        <x:v>0.5625</x:v>
      </x:c>
      <x:c r="F42" s="54" t="str">
        <x:v>I would recommend this course to another analyst.</x:v>
      </x:c>
    </x:row>
    <x:row r="43">
      <x:c r="A43" s="54" t="str">
        <x:v>q8</x:v>
      </x:c>
      <x:c r="B43" s="54" t="str">
        <x:v>Course Content</x:v>
      </x:c>
      <x:c r="C43" s="54" t="str">
        <x:v>Strongly agree</x:v>
      </x:c>
      <x:c r="D43" s="54" t="n">
        <x:f>COUNTIF('Raw Responses'!$I$5:$I$36,C43)</x:f>
        <x:v>9</x:v>
      </x:c>
      <x:c r="E43" s="58" t="n">
        <x:f>IFERROR(D43/COUNTA('Raw Responses'!$I$5:$I$36),0)</x:f>
        <x:v>0.28125</x:v>
      </x:c>
      <x:c r="F43" s="54" t="str">
        <x:v>I would recommend this course to another analyst.</x:v>
      </x:c>
    </x:row>
    <x:row r="44">
      <x:c r="A44" s="54" t="str">
        <x:v>q11</x:v>
      </x:c>
      <x:c r="B44" s="54" t="str">
        <x:v>Instruction &amp; Support</x:v>
      </x:c>
      <x:c r="C44" s="54" t="str">
        <x:v>Strongly disagree</x:v>
      </x:c>
      <x:c r="D44" s="54" t="n">
        <x:f>COUNTIF('Raw Responses'!$L$5:$L$36,C44)</x:f>
        <x:v>0</x:v>
      </x:c>
      <x:c r="E44" s="58" t="n">
        <x:f>IFERROR(D44/COUNTA('Raw Responses'!$L$5:$L$36),0)</x:f>
        <x:v>0</x:v>
      </x:c>
      <x:c r="F44" s="54" t="str">
        <x:v>Overall, how effective was the instructional experience?</x:v>
      </x:c>
    </x:row>
    <x:row r="45">
      <x:c r="A45" s="54" t="str">
        <x:v>q11</x:v>
      </x:c>
      <x:c r="B45" s="54" t="str">
        <x:v>Instruction &amp; Support</x:v>
      </x:c>
      <x:c r="C45" s="54" t="str">
        <x:v>Disagree</x:v>
      </x:c>
      <x:c r="D45" s="54" t="n">
        <x:f>COUNTIF('Raw Responses'!$L$5:$L$36,C45)</x:f>
        <x:v>0</x:v>
      </x:c>
      <x:c r="E45" s="58" t="n">
        <x:f>IFERROR(D45/COUNTA('Raw Responses'!$L$5:$L$36),0)</x:f>
        <x:v>0</x:v>
      </x:c>
      <x:c r="F45" s="54" t="str">
        <x:v>Overall, how effective was the instructional experience?</x:v>
      </x:c>
    </x:row>
    <x:row r="46">
      <x:c r="A46" s="54" t="str">
        <x:v>q11</x:v>
      </x:c>
      <x:c r="B46" s="54" t="str">
        <x:v>Instruction &amp; Support</x:v>
      </x:c>
      <x:c r="C46" s="54" t="str">
        <x:v>Neutral</x:v>
      </x:c>
      <x:c r="D46" s="54" t="n">
        <x:f>COUNTIF('Raw Responses'!$L$5:$L$36,C46)</x:f>
        <x:v>5</x:v>
      </x:c>
      <x:c r="E46" s="58" t="n">
        <x:f>IFERROR(D46/COUNTA('Raw Responses'!$L$5:$L$36),0)</x:f>
        <x:v>0.15625</x:v>
      </x:c>
      <x:c r="F46" s="54" t="str">
        <x:v>Overall, how effective was the instructional experience?</x:v>
      </x:c>
    </x:row>
    <x:row r="47">
      <x:c r="A47" s="54" t="str">
        <x:v>q11</x:v>
      </x:c>
      <x:c r="B47" s="54" t="str">
        <x:v>Instruction &amp; Support</x:v>
      </x:c>
      <x:c r="C47" s="54" t="str">
        <x:v>Agree</x:v>
      </x:c>
      <x:c r="D47" s="54" t="n">
        <x:f>COUNTIF('Raw Responses'!$L$5:$L$36,C47)</x:f>
        <x:v>19</x:v>
      </x:c>
      <x:c r="E47" s="58" t="n">
        <x:f>IFERROR(D47/COUNTA('Raw Responses'!$L$5:$L$36),0)</x:f>
        <x:v>0.59375</x:v>
      </x:c>
      <x:c r="F47" s="54" t="str">
        <x:v>Overall, how effective was the instructional experience?</x:v>
      </x:c>
    </x:row>
    <x:row r="48">
      <x:c r="A48" s="54" t="str">
        <x:v>q11</x:v>
      </x:c>
      <x:c r="B48" s="54" t="str">
        <x:v>Instruction &amp; Support</x:v>
      </x:c>
      <x:c r="C48" s="54" t="str">
        <x:v>Strongly agree</x:v>
      </x:c>
      <x:c r="D48" s="54" t="n">
        <x:f>COUNTIF('Raw Responses'!$L$5:$L$36,C48)</x:f>
        <x:v>8</x:v>
      </x:c>
      <x:c r="E48" s="58" t="n">
        <x:f>IFERROR(D48/COUNTA('Raw Responses'!$L$5:$L$36),0)</x:f>
        <x:v>0.25</x:v>
      </x:c>
      <x:c r="F48" s="54" t="str">
        <x:v>Overall, how effective was the instructional experience?</x:v>
      </x:c>
    </x:row>
    <x:row r="49">
      <x:c r="A49" s="54" t="str">
        <x:v>q17</x:v>
      </x:c>
      <x:c r="B49" s="54" t="str">
        <x:v>Logistics</x:v>
      </x:c>
      <x:c r="C49" s="54" t="str">
        <x:v>Strongly disagree</x:v>
      </x:c>
      <x:c r="D49" s="54" t="n">
        <x:f>COUNTIF('Raw Responses'!$R$5:$R$36,C49)</x:f>
        <x:v>0</x:v>
      </x:c>
      <x:c r="E49" s="58" t="n">
        <x:f>IFERROR(D49/COUNTA('Raw Responses'!$R$5:$R$36),0)</x:f>
        <x:v>0</x:v>
      </x:c>
      <x:c r="F49" s="54" t="str">
        <x:v>The schedule and timing worked well for me.</x:v>
      </x:c>
    </x:row>
    <x:row r="50">
      <x:c r="A50" s="54" t="str">
        <x:v>q17</x:v>
      </x:c>
      <x:c r="B50" s="54" t="str">
        <x:v>Logistics</x:v>
      </x:c>
      <x:c r="C50" s="54" t="str">
        <x:v>Disagree</x:v>
      </x:c>
      <x:c r="D50" s="54" t="n">
        <x:f>COUNTIF('Raw Responses'!$R$5:$R$36,C50)</x:f>
        <x:v>5</x:v>
      </x:c>
      <x:c r="E50" s="58" t="n">
        <x:f>IFERROR(D50/COUNTA('Raw Responses'!$R$5:$R$36),0)</x:f>
        <x:v>0.15625</x:v>
      </x:c>
      <x:c r="F50" s="54" t="str">
        <x:v>The schedule and timing worked well for me.</x:v>
      </x:c>
    </x:row>
    <x:row r="51">
      <x:c r="A51" s="54" t="str">
        <x:v>q17</x:v>
      </x:c>
      <x:c r="B51" s="54" t="str">
        <x:v>Logistics</x:v>
      </x:c>
      <x:c r="C51" s="54" t="str">
        <x:v>Neutral</x:v>
      </x:c>
      <x:c r="D51" s="54" t="n">
        <x:f>COUNTIF('Raw Responses'!$R$5:$R$36,C51)</x:f>
        <x:v>6</x:v>
      </x:c>
      <x:c r="E51" s="58" t="n">
        <x:f>IFERROR(D51/COUNTA('Raw Responses'!$R$5:$R$36),0)</x:f>
        <x:v>0.1875</x:v>
      </x:c>
      <x:c r="F51" s="54" t="str">
        <x:v>The schedule and timing worked well for me.</x:v>
      </x:c>
    </x:row>
    <x:row r="52">
      <x:c r="A52" s="54" t="str">
        <x:v>q17</x:v>
      </x:c>
      <x:c r="B52" s="54" t="str">
        <x:v>Logistics</x:v>
      </x:c>
      <x:c r="C52" s="54" t="str">
        <x:v>Agree</x:v>
      </x:c>
      <x:c r="D52" s="54" t="n">
        <x:f>COUNTIF('Raw Responses'!$R$5:$R$36,C52)</x:f>
        <x:v>12</x:v>
      </x:c>
      <x:c r="E52" s="58" t="n">
        <x:f>IFERROR(D52/COUNTA('Raw Responses'!$R$5:$R$36),0)</x:f>
        <x:v>0.375</x:v>
      </x:c>
      <x:c r="F52" s="54" t="str">
        <x:v>The schedule and timing worked well for me.</x:v>
      </x:c>
    </x:row>
    <x:row r="53">
      <x:c r="A53" s="54" t="str">
        <x:v>q17</x:v>
      </x:c>
      <x:c r="B53" s="54" t="str">
        <x:v>Logistics</x:v>
      </x:c>
      <x:c r="C53" s="54" t="str">
        <x:v>Strongly agree</x:v>
      </x:c>
      <x:c r="D53" s="54" t="n">
        <x:f>COUNTIF('Raw Responses'!$R$5:$R$36,C53)</x:f>
        <x:v>9</x:v>
      </x:c>
      <x:c r="E53" s="58" t="n">
        <x:f>IFERROR(D53/COUNTA('Raw Responses'!$R$5:$R$36),0)</x:f>
        <x:v>0.28125</x:v>
      </x:c>
      <x:c r="F53" s="54" t="str">
        <x:v>The schedule and timing worked well for me.</x:v>
      </x:c>
    </x:row>
    <x:row r="54">
      <x:c r="A54" s="54" t="str">
        <x:v>q18</x:v>
      </x:c>
      <x:c r="B54" s="54" t="str">
        <x:v>Logistics</x:v>
      </x:c>
      <x:c r="C54" s="54" t="str">
        <x:v>Strongly disagree</x:v>
      </x:c>
      <x:c r="D54" s="54" t="n">
        <x:f>COUNTIF('Raw Responses'!$S$5:$S$36,C54)</x:f>
        <x:v>0</x:v>
      </x:c>
      <x:c r="E54" s="58" t="n">
        <x:f>IFERROR(D54/COUNTA('Raw Responses'!$S$5:$S$36),0)</x:f>
        <x:v>0</x:v>
      </x:c>
      <x:c r="F54" s="54" t="str">
        <x:v>The classroom setup and provided tools were sufficient.</x:v>
      </x:c>
    </x:row>
    <x:row r="55">
      <x:c r="A55" s="54" t="str">
        <x:v>q18</x:v>
      </x:c>
      <x:c r="B55" s="54" t="str">
        <x:v>Logistics</x:v>
      </x:c>
      <x:c r="C55" s="54" t="str">
        <x:v>Disagree</x:v>
      </x:c>
      <x:c r="D55" s="54" t="n">
        <x:f>COUNTIF('Raw Responses'!$S$5:$S$36,C55)</x:f>
        <x:v>1</x:v>
      </x:c>
      <x:c r="E55" s="58" t="n">
        <x:f>IFERROR(D55/COUNTA('Raw Responses'!$S$5:$S$36),0)</x:f>
        <x:v>0.03125</x:v>
      </x:c>
      <x:c r="F55" s="54" t="str">
        <x:v>The classroom setup and provided tools were sufficient.</x:v>
      </x:c>
    </x:row>
    <x:row r="56">
      <x:c r="A56" s="54" t="str">
        <x:v>q18</x:v>
      </x:c>
      <x:c r="B56" s="54" t="str">
        <x:v>Logistics</x:v>
      </x:c>
      <x:c r="C56" s="54" t="str">
        <x:v>Neutral</x:v>
      </x:c>
      <x:c r="D56" s="54" t="n">
        <x:f>COUNTIF('Raw Responses'!$S$5:$S$36,C56)</x:f>
        <x:v>6</x:v>
      </x:c>
      <x:c r="E56" s="58" t="n">
        <x:f>IFERROR(D56/COUNTA('Raw Responses'!$S$5:$S$36),0)</x:f>
        <x:v>0.1875</x:v>
      </x:c>
      <x:c r="F56" s="54" t="str">
        <x:v>The classroom setup and provided tools were sufficient.</x:v>
      </x:c>
    </x:row>
    <x:row r="57">
      <x:c r="A57" s="54" t="str">
        <x:v>q18</x:v>
      </x:c>
      <x:c r="B57" s="54" t="str">
        <x:v>Logistics</x:v>
      </x:c>
      <x:c r="C57" s="54" t="str">
        <x:v>Agree</x:v>
      </x:c>
      <x:c r="D57" s="54" t="n">
        <x:f>COUNTIF('Raw Responses'!$S$5:$S$36,C57)</x:f>
        <x:v>17</x:v>
      </x:c>
      <x:c r="E57" s="58" t="n">
        <x:f>IFERROR(D57/COUNTA('Raw Responses'!$S$5:$S$36),0)</x:f>
        <x:v>0.53125</x:v>
      </x:c>
      <x:c r="F57" s="54" t="str">
        <x:v>The classroom setup and provided tools were sufficient.</x:v>
      </x:c>
    </x:row>
    <x:row r="58">
      <x:c r="A58" s="54" t="str">
        <x:v>q18</x:v>
      </x:c>
      <x:c r="B58" s="54" t="str">
        <x:v>Logistics</x:v>
      </x:c>
      <x:c r="C58" s="54" t="str">
        <x:v>Strongly agree</x:v>
      </x:c>
      <x:c r="D58" s="54" t="n">
        <x:f>COUNTIF('Raw Responses'!$S$5:$S$36,C58)</x:f>
        <x:v>8</x:v>
      </x:c>
      <x:c r="E58" s="58" t="n">
        <x:f>IFERROR(D58/COUNTA('Raw Responses'!$S$5:$S$36),0)</x:f>
        <x:v>0.25</x:v>
      </x:c>
      <x:c r="F58" s="54" t="str">
        <x:v>The classroom setup and provided tools were sufficient.</x:v>
      </x:c>
    </x:row>
    <x:row r="59">
      <x:c r="A59" s="54" t="str">
        <x:v>q19</x:v>
      </x:c>
      <x:c r="B59" s="54" t="str">
        <x:v>Logistics</x:v>
      </x:c>
      <x:c r="C59" s="54" t="str">
        <x:v>Strongly disagree</x:v>
      </x:c>
      <x:c r="D59" s="54" t="n">
        <x:f>COUNTIF('Raw Responses'!$T$5:$T$36,C59)</x:f>
        <x:v>0</x:v>
      </x:c>
      <x:c r="E59" s="58" t="n">
        <x:f>IFERROR(D59/COUNTA('Raw Responses'!$T$5:$T$36),0)</x:f>
        <x:v>0</x:v>
      </x:c>
      <x:c r="F59" s="54" t="str">
        <x:v>The workload was manageable during the course.</x:v>
      </x:c>
    </x:row>
    <x:row r="60">
      <x:c r="A60" s="54" t="str">
        <x:v>q19</x:v>
      </x:c>
      <x:c r="B60" s="54" t="str">
        <x:v>Logistics</x:v>
      </x:c>
      <x:c r="C60" s="54" t="str">
        <x:v>Disagree</x:v>
      </x:c>
      <x:c r="D60" s="54" t="n">
        <x:f>COUNTIF('Raw Responses'!$T$5:$T$36,C60)</x:f>
        <x:v>4</x:v>
      </x:c>
      <x:c r="E60" s="58" t="n">
        <x:f>IFERROR(D60/COUNTA('Raw Responses'!$T$5:$T$36),0)</x:f>
        <x:v>0.125</x:v>
      </x:c>
      <x:c r="F60" s="54" t="str">
        <x:v>The workload was manageable during the course.</x:v>
      </x:c>
    </x:row>
    <x:row r="61">
      <x:c r="A61" s="54" t="str">
        <x:v>q19</x:v>
      </x:c>
      <x:c r="B61" s="54" t="str">
        <x:v>Logistics</x:v>
      </x:c>
      <x:c r="C61" s="54" t="str">
        <x:v>Neutral</x:v>
      </x:c>
      <x:c r="D61" s="54" t="n">
        <x:f>COUNTIF('Raw Responses'!$T$5:$T$36,C61)</x:f>
        <x:v>11</x:v>
      </x:c>
      <x:c r="E61" s="58" t="n">
        <x:f>IFERROR(D61/COUNTA('Raw Responses'!$T$5:$T$36),0)</x:f>
        <x:v>0.34375</x:v>
      </x:c>
      <x:c r="F61" s="54" t="str">
        <x:v>The workload was manageable during the course.</x:v>
      </x:c>
    </x:row>
    <x:row r="62">
      <x:c r="A62" s="54" t="str">
        <x:v>q19</x:v>
      </x:c>
      <x:c r="B62" s="54" t="str">
        <x:v>Logistics</x:v>
      </x:c>
      <x:c r="C62" s="54" t="str">
        <x:v>Agree</x:v>
      </x:c>
      <x:c r="D62" s="54" t="n">
        <x:f>COUNTIF('Raw Responses'!$T$5:$T$36,C62)</x:f>
        <x:v>10</x:v>
      </x:c>
      <x:c r="E62" s="58" t="n">
        <x:f>IFERROR(D62/COUNTA('Raw Responses'!$T$5:$T$36),0)</x:f>
        <x:v>0.3125</x:v>
      </x:c>
      <x:c r="F62" s="54" t="str">
        <x:v>The workload was manageable during the course.</x:v>
      </x:c>
    </x:row>
    <x:row r="63">
      <x:c r="A63" s="54" t="str">
        <x:v>q19</x:v>
      </x:c>
      <x:c r="B63" s="54" t="str">
        <x:v>Logistics</x:v>
      </x:c>
      <x:c r="C63" s="54" t="str">
        <x:v>Strongly agree</x:v>
      </x:c>
      <x:c r="D63" s="54" t="n">
        <x:f>COUNTIF('Raw Responses'!$T$5:$T$36,C63)</x:f>
        <x:v>7</x:v>
      </x:c>
      <x:c r="E63" s="58" t="n">
        <x:f>IFERROR(D63/COUNTA('Raw Responses'!$T$5:$T$36),0)</x:f>
        <x:v>0.21875</x:v>
      </x:c>
      <x:c r="F63" s="54" t="str">
        <x:v>The workload was manageable during the course.</x:v>
      </x:c>
    </x:row>
    <x:row r="64">
      <x:c r="A64" s="54" t="str">
        <x:v>q20</x:v>
      </x:c>
      <x:c r="B64" s="54" t="str">
        <x:v>Logistics</x:v>
      </x:c>
      <x:c r="C64" s="54" t="str">
        <x:v>Strongly disagree</x:v>
      </x:c>
      <x:c r="D64" s="54" t="n">
        <x:f>COUNTIF('Raw Responses'!$U$5:$U$36,C64)</x:f>
        <x:v>0</x:v>
      </x:c>
      <x:c r="E64" s="58" t="n">
        <x:f>IFERROR(D64/COUNTA('Raw Responses'!$U$5:$U$36),0)</x:f>
        <x:v>0</x:v>
      </x:c>
      <x:c r="F64" s="54" t="str">
        <x:v>Class communications and updates were timely and clear.</x:v>
      </x:c>
    </x:row>
    <x:row r="65">
      <x:c r="A65" s="54" t="str">
        <x:v>q20</x:v>
      </x:c>
      <x:c r="B65" s="54" t="str">
        <x:v>Logistics</x:v>
      </x:c>
      <x:c r="C65" s="54" t="str">
        <x:v>Disagree</x:v>
      </x:c>
      <x:c r="D65" s="54" t="n">
        <x:f>COUNTIF('Raw Responses'!$U$5:$U$36,C65)</x:f>
        <x:v>0</x:v>
      </x:c>
      <x:c r="E65" s="58" t="n">
        <x:f>IFERROR(D65/COUNTA('Raw Responses'!$U$5:$U$36),0)</x:f>
        <x:v>0</x:v>
      </x:c>
      <x:c r="F65" s="54" t="str">
        <x:v>Class communications and updates were timely and clear.</x:v>
      </x:c>
    </x:row>
    <x:row r="66">
      <x:c r="A66" s="54" t="str">
        <x:v>q20</x:v>
      </x:c>
      <x:c r="B66" s="54" t="str">
        <x:v>Logistics</x:v>
      </x:c>
      <x:c r="C66" s="54" t="str">
        <x:v>Neutral</x:v>
      </x:c>
      <x:c r="D66" s="54" t="n">
        <x:f>COUNTIF('Raw Responses'!$U$5:$U$36,C66)</x:f>
        <x:v>6</x:v>
      </x:c>
      <x:c r="E66" s="58" t="n">
        <x:f>IFERROR(D66/COUNTA('Raw Responses'!$U$5:$U$36),0)</x:f>
        <x:v>0.1875</x:v>
      </x:c>
      <x:c r="F66" s="54" t="str">
        <x:v>Class communications and updates were timely and clear.</x:v>
      </x:c>
    </x:row>
    <x:row r="67">
      <x:c r="A67" s="54" t="str">
        <x:v>q20</x:v>
      </x:c>
      <x:c r="B67" s="54" t="str">
        <x:v>Logistics</x:v>
      </x:c>
      <x:c r="C67" s="54" t="str">
        <x:v>Agree</x:v>
      </x:c>
      <x:c r="D67" s="54" t="n">
        <x:f>COUNTIF('Raw Responses'!$U$5:$U$36,C67)</x:f>
        <x:v>16</x:v>
      </x:c>
      <x:c r="E67" s="58" t="n">
        <x:f>IFERROR(D67/COUNTA('Raw Responses'!$U$5:$U$36),0)</x:f>
        <x:v>0.5</x:v>
      </x:c>
      <x:c r="F67" s="54" t="str">
        <x:v>Class communications and updates were timely and clear.</x:v>
      </x:c>
    </x:row>
    <x:row r="68">
      <x:c r="A68" s="54" t="str">
        <x:v>q20</x:v>
      </x:c>
      <x:c r="B68" s="54" t="str">
        <x:v>Logistics</x:v>
      </x:c>
      <x:c r="C68" s="54" t="str">
        <x:v>Strongly agree</x:v>
      </x:c>
      <x:c r="D68" s="54" t="n">
        <x:f>COUNTIF('Raw Responses'!$U$5:$U$36,C68)</x:f>
        <x:v>10</x:v>
      </x:c>
      <x:c r="E68" s="58" t="n">
        <x:f>IFERROR(D68/COUNTA('Raw Responses'!$U$5:$U$36),0)</x:f>
        <x:v>0.3125</x:v>
      </x:c>
      <x:c r="F68" s="54" t="str">
        <x:v>Class communications and updates were timely and clear.</x:v>
      </x:c>
    </x:row>
    <x:row r="69">
      <x:c r="A69" s="54" t="str">
        <x:v>q29</x:v>
      </x:c>
      <x:c r="B69" s="54" t="str">
        <x:v>Evidence Drop &amp; Investigation Format</x:v>
      </x:c>
      <x:c r="C69" s="54" t="str">
        <x:v>Strongly disagree</x:v>
      </x:c>
      <x:c r="D69" s="54" t="n">
        <x:f>COUNTIF('Raw Responses'!$W$5:$W$36,C69)</x:f>
        <x:v>1</x:v>
      </x:c>
      <x:c r="E69" s="58" t="n">
        <x:f>IFERROR(D69/COUNTA('Raw Responses'!$W$5:$W$36),0)</x:f>
        <x:v>0.03125</x:v>
      </x:c>
      <x:c r="F69" s="54" t="str">
        <x:v>The course sequence—receiving an evidence drop, investigating it, and then collaborating with others—supported my learning.</x:v>
      </x:c>
    </x:row>
    <x:row r="70">
      <x:c r="A70" s="54" t="str">
        <x:v>q29</x:v>
      </x:c>
      <x:c r="B70" s="54" t="str">
        <x:v>Evidence Drop &amp; Investigation Format</x:v>
      </x:c>
      <x:c r="C70" s="54" t="str">
        <x:v>Disagree</x:v>
      </x:c>
      <x:c r="D70" s="54" t="n">
        <x:f>COUNTIF('Raw Responses'!$W$5:$W$36,C70)</x:f>
        <x:v>2</x:v>
      </x:c>
      <x:c r="E70" s="58" t="n">
        <x:f>IFERROR(D70/COUNTA('Raw Responses'!$W$5:$W$36),0)</x:f>
        <x:v>0.0625</x:v>
      </x:c>
      <x:c r="F70" s="54" t="str">
        <x:v>The course sequence—receiving an evidence drop, investigating it, and then collaborating with others—supported my learning.</x:v>
      </x:c>
    </x:row>
    <x:row r="71">
      <x:c r="A71" s="54" t="str">
        <x:v>q29</x:v>
      </x:c>
      <x:c r="B71" s="54" t="str">
        <x:v>Evidence Drop &amp; Investigation Format</x:v>
      </x:c>
      <x:c r="C71" s="54" t="str">
        <x:v>Neutral</x:v>
      </x:c>
      <x:c r="D71" s="54" t="n">
        <x:f>COUNTIF('Raw Responses'!$W$5:$W$36,C71)</x:f>
        <x:v>11</x:v>
      </x:c>
      <x:c r="E71" s="58" t="n">
        <x:f>IFERROR(D71/COUNTA('Raw Responses'!$W$5:$W$36),0)</x:f>
        <x:v>0.34375</x:v>
      </x:c>
      <x:c r="F71" s="54" t="str">
        <x:v>The course sequence—receiving an evidence drop, investigating it, and then collaborating with others—supported my learning.</x:v>
      </x:c>
    </x:row>
    <x:row r="72">
      <x:c r="A72" s="54" t="str">
        <x:v>q29</x:v>
      </x:c>
      <x:c r="B72" s="54" t="str">
        <x:v>Evidence Drop &amp; Investigation Format</x:v>
      </x:c>
      <x:c r="C72" s="54" t="str">
        <x:v>Agree</x:v>
      </x:c>
      <x:c r="D72" s="54" t="n">
        <x:f>COUNTIF('Raw Responses'!$W$5:$W$36,C72)</x:f>
        <x:v>12</x:v>
      </x:c>
      <x:c r="E72" s="58" t="n">
        <x:f>IFERROR(D72/COUNTA('Raw Responses'!$W$5:$W$36),0)</x:f>
        <x:v>0.375</x:v>
      </x:c>
      <x:c r="F72" s="54" t="str">
        <x:v>The course sequence—receiving an evidence drop, investigating it, and then collaborating with others—supported my learning.</x:v>
      </x:c>
    </x:row>
    <x:row r="73">
      <x:c r="A73" s="54" t="str">
        <x:v>q29</x:v>
      </x:c>
      <x:c r="B73" s="54" t="str">
        <x:v>Evidence Drop &amp; Investigation Format</x:v>
      </x:c>
      <x:c r="C73" s="54" t="str">
        <x:v>Strongly agree</x:v>
      </x:c>
      <x:c r="D73" s="54" t="n">
        <x:f>COUNTIF('Raw Responses'!$W$5:$W$36,C73)</x:f>
        <x:v>6</x:v>
      </x:c>
      <x:c r="E73" s="58" t="n">
        <x:f>IFERROR(D73/COUNTA('Raw Responses'!$W$5:$W$36),0)</x:f>
        <x:v>0.1875</x:v>
      </x:c>
      <x:c r="F73" s="54" t="str">
        <x:v>The course sequence—receiving an evidence drop, investigating it, and then collaborating with others—supported my learning.</x:v>
      </x:c>
    </x:row>
    <x:row r="74">
      <x:c r="A74" s="54" t="str">
        <x:v>q30</x:v>
      </x:c>
      <x:c r="B74" s="54" t="str">
        <x:v>Evidence Drop &amp; Investigation Format</x:v>
      </x:c>
      <x:c r="C74" s="54" t="str">
        <x:v>Strongly disagree</x:v>
      </x:c>
      <x:c r="D74" s="54" t="n">
        <x:f>COUNTIF('Raw Responses'!$X$5:$X$36,C74)</x:f>
        <x:v>4</x:v>
      </x:c>
      <x:c r="E74" s="58" t="n">
        <x:f>IFERROR(D74/COUNTA('Raw Responses'!$X$5:$X$36),0)</x:f>
        <x:v>0.125</x:v>
      </x:c>
      <x:c r="F74" s="54" t="str">
        <x:v>Evidence drops arrived at an appropriate pace and contained a manageable amount of information.</x:v>
      </x:c>
    </x:row>
    <x:row r="75">
      <x:c r="A75" s="54" t="str">
        <x:v>q30</x:v>
      </x:c>
      <x:c r="B75" s="54" t="str">
        <x:v>Evidence Drop &amp; Investigation Format</x:v>
      </x:c>
      <x:c r="C75" s="54" t="str">
        <x:v>Disagree</x:v>
      </x:c>
      <x:c r="D75" s="54" t="n">
        <x:f>COUNTIF('Raw Responses'!$X$5:$X$36,C75)</x:f>
        <x:v>12</x:v>
      </x:c>
      <x:c r="E75" s="58" t="n">
        <x:f>IFERROR(D75/COUNTA('Raw Responses'!$X$5:$X$36),0)</x:f>
        <x:v>0.375</x:v>
      </x:c>
      <x:c r="F75" s="54" t="str">
        <x:v>Evidence drops arrived at an appropriate pace and contained a manageable amount of information.</x:v>
      </x:c>
    </x:row>
    <x:row r="76">
      <x:c r="A76" s="54" t="str">
        <x:v>q30</x:v>
      </x:c>
      <x:c r="B76" s="54" t="str">
        <x:v>Evidence Drop &amp; Investigation Format</x:v>
      </x:c>
      <x:c r="C76" s="54" t="str">
        <x:v>Neutral</x:v>
      </x:c>
      <x:c r="D76" s="54" t="n">
        <x:f>COUNTIF('Raw Responses'!$X$5:$X$36,C76)</x:f>
        <x:v>10</x:v>
      </x:c>
      <x:c r="E76" s="58" t="n">
        <x:f>IFERROR(D76/COUNTA('Raw Responses'!$X$5:$X$36),0)</x:f>
        <x:v>0.3125</x:v>
      </x:c>
      <x:c r="F76" s="54" t="str">
        <x:v>Evidence drops arrived at an appropriate pace and contained a manageable amount of information.</x:v>
      </x:c>
    </x:row>
    <x:row r="77">
      <x:c r="A77" s="54" t="str">
        <x:v>q30</x:v>
      </x:c>
      <x:c r="B77" s="54" t="str">
        <x:v>Evidence Drop &amp; Investigation Format</x:v>
      </x:c>
      <x:c r="C77" s="54" t="str">
        <x:v>Agree</x:v>
      </x:c>
      <x:c r="D77" s="54" t="n">
        <x:f>COUNTIF('Raw Responses'!$X$5:$X$36,C77)</x:f>
        <x:v>4</x:v>
      </x:c>
      <x:c r="E77" s="58" t="n">
        <x:f>IFERROR(D77/COUNTA('Raw Responses'!$X$5:$X$36),0)</x:f>
        <x:v>0.125</x:v>
      </x:c>
      <x:c r="F77" s="54" t="str">
        <x:v>Evidence drops arrived at an appropriate pace and contained a manageable amount of information.</x:v>
      </x:c>
    </x:row>
    <x:row r="78">
      <x:c r="A78" s="54" t="str">
        <x:v>q30</x:v>
      </x:c>
      <x:c r="B78" s="54" t="str">
        <x:v>Evidence Drop &amp; Investigation Format</x:v>
      </x:c>
      <x:c r="C78" s="54" t="str">
        <x:v>Strongly agree</x:v>
      </x:c>
      <x:c r="D78" s="54" t="n">
        <x:f>COUNTIF('Raw Responses'!$X$5:$X$36,C78)</x:f>
        <x:v>2</x:v>
      </x:c>
      <x:c r="E78" s="58" t="n">
        <x:f>IFERROR(D78/COUNTA('Raw Responses'!$X$5:$X$36),0)</x:f>
        <x:v>0.0625</x:v>
      </x:c>
      <x:c r="F78" s="54" t="str">
        <x:v>Evidence drops arrived at an appropriate pace and contained a manageable amount of information.</x:v>
      </x:c>
    </x:row>
    <x:row r="79">
      <x:c r="A79" s="54" t="str">
        <x:v>q31</x:v>
      </x:c>
      <x:c r="B79" s="54" t="str">
        <x:v>Evidence Drop &amp; Investigation Format</x:v>
      </x:c>
      <x:c r="C79" s="54" t="str">
        <x:v>Strongly disagree</x:v>
      </x:c>
      <x:c r="D79" s="54" t="n">
        <x:f>COUNTIF('Raw Responses'!$Y$5:$Y$36,C79)</x:f>
        <x:v>3</x:v>
      </x:c>
      <x:c r="E79" s="58" t="n">
        <x:f>IFERROR(D79/COUNTA('Raw Responses'!$Y$5:$Y$36),0)</x:f>
        <x:v>0.09375</x:v>
      </x:c>
      <x:c r="F79" s="54" t="str">
        <x:v>I had enough time to investigate and form my own conclusions before collaborating with others.</x:v>
      </x:c>
    </x:row>
    <x:row r="80">
      <x:c r="A80" s="54" t="str">
        <x:v>q31</x:v>
      </x:c>
      <x:c r="B80" s="54" t="str">
        <x:v>Evidence Drop &amp; Investigation Format</x:v>
      </x:c>
      <x:c r="C80" s="54" t="str">
        <x:v>Disagree</x:v>
      </x:c>
      <x:c r="D80" s="54" t="n">
        <x:f>COUNTIF('Raw Responses'!$Y$5:$Y$36,C80)</x:f>
        <x:v>11</x:v>
      </x:c>
      <x:c r="E80" s="58" t="n">
        <x:f>IFERROR(D80/COUNTA('Raw Responses'!$Y$5:$Y$36),0)</x:f>
        <x:v>0.34375</x:v>
      </x:c>
      <x:c r="F80" s="54" t="str">
        <x:v>I had enough time to investigate and form my own conclusions before collaborating with others.</x:v>
      </x:c>
    </x:row>
    <x:row r="81">
      <x:c r="A81" s="54" t="str">
        <x:v>q31</x:v>
      </x:c>
      <x:c r="B81" s="54" t="str">
        <x:v>Evidence Drop &amp; Investigation Format</x:v>
      </x:c>
      <x:c r="C81" s="54" t="str">
        <x:v>Neutral</x:v>
      </x:c>
      <x:c r="D81" s="54" t="n">
        <x:f>COUNTIF('Raw Responses'!$Y$5:$Y$36,C81)</x:f>
        <x:v>10</x:v>
      </x:c>
      <x:c r="E81" s="58" t="n">
        <x:f>IFERROR(D81/COUNTA('Raw Responses'!$Y$5:$Y$36),0)</x:f>
        <x:v>0.3125</x:v>
      </x:c>
      <x:c r="F81" s="54" t="str">
        <x:v>I had enough time to investigate and form my own conclusions before collaborating with others.</x:v>
      </x:c>
    </x:row>
    <x:row r="82">
      <x:c r="A82" s="54" t="str">
        <x:v>q31</x:v>
      </x:c>
      <x:c r="B82" s="54" t="str">
        <x:v>Evidence Drop &amp; Investigation Format</x:v>
      </x:c>
      <x:c r="C82" s="54" t="str">
        <x:v>Agree</x:v>
      </x:c>
      <x:c r="D82" s="54" t="n">
        <x:f>COUNTIF('Raw Responses'!$Y$5:$Y$36,C82)</x:f>
        <x:v>5</x:v>
      </x:c>
      <x:c r="E82" s="58" t="n">
        <x:f>IFERROR(D82/COUNTA('Raw Responses'!$Y$5:$Y$36),0)</x:f>
        <x:v>0.15625</x:v>
      </x:c>
      <x:c r="F82" s="54" t="str">
        <x:v>I had enough time to investigate and form my own conclusions before collaborating with others.</x:v>
      </x:c>
    </x:row>
    <x:row r="83">
      <x:c r="A83" s="54" t="str">
        <x:v>q31</x:v>
      </x:c>
      <x:c r="B83" s="54" t="str">
        <x:v>Evidence Drop &amp; Investigation Format</x:v>
      </x:c>
      <x:c r="C83" s="54" t="str">
        <x:v>Strongly agree</x:v>
      </x:c>
      <x:c r="D83" s="54" t="n">
        <x:f>COUNTIF('Raw Responses'!$Y$5:$Y$36,C83)</x:f>
        <x:v>3</x:v>
      </x:c>
      <x:c r="E83" s="58" t="n">
        <x:f>IFERROR(D83/COUNTA('Raw Responses'!$Y$5:$Y$36),0)</x:f>
        <x:v>0.09375</x:v>
      </x:c>
      <x:c r="F83" s="54" t="str">
        <x:v>I had enough time to investigate and form my own conclusions before collaborating with others.</x:v>
      </x:c>
    </x:row>
    <x:row r="84">
      <x:c r="A84" s="54" t="str">
        <x:v>q32</x:v>
      </x:c>
      <x:c r="B84" s="54" t="str">
        <x:v>Evidence Drop &amp; Investigation Format</x:v>
      </x:c>
      <x:c r="C84" s="54" t="str">
        <x:v>Strongly disagree</x:v>
      </x:c>
      <x:c r="D84" s="54" t="n">
        <x:f>COUNTIF('Raw Responses'!$Z$5:$Z$36,C84)</x:f>
        <x:v>0</x:v>
      </x:c>
      <x:c r="E84" s="58" t="n">
        <x:f>IFERROR(D84/COUNTA('Raw Responses'!$Z$5:$Z$36),0)</x:f>
        <x:v>0</x:v>
      </x:c>
      <x:c r="F84" s="54" t="str">
        <x:v>Collaboration helped me identify connections, challenge assumptions, or reach conclusions I would not have reached alone.</x:v>
      </x:c>
    </x:row>
    <x:row r="85">
      <x:c r="A85" s="54" t="str">
        <x:v>q32</x:v>
      </x:c>
      <x:c r="B85" s="54" t="str">
        <x:v>Evidence Drop &amp; Investigation Format</x:v>
      </x:c>
      <x:c r="C85" s="54" t="str">
        <x:v>Disagree</x:v>
      </x:c>
      <x:c r="D85" s="54" t="n">
        <x:f>COUNTIF('Raw Responses'!$Z$5:$Z$36,C85)</x:f>
        <x:v>2</x:v>
      </x:c>
      <x:c r="E85" s="58" t="n">
        <x:f>IFERROR(D85/COUNTA('Raw Responses'!$Z$5:$Z$36),0)</x:f>
        <x:v>0.0625</x:v>
      </x:c>
      <x:c r="F85" s="54" t="str">
        <x:v>Collaboration helped me identify connections, challenge assumptions, or reach conclusions I would not have reached alone.</x:v>
      </x:c>
    </x:row>
    <x:row r="86">
      <x:c r="A86" s="54" t="str">
        <x:v>q32</x:v>
      </x:c>
      <x:c r="B86" s="54" t="str">
        <x:v>Evidence Drop &amp; Investigation Format</x:v>
      </x:c>
      <x:c r="C86" s="54" t="str">
        <x:v>Neutral</x:v>
      </x:c>
      <x:c r="D86" s="54" t="n">
        <x:f>COUNTIF('Raw Responses'!$Z$5:$Z$36,C86)</x:f>
        <x:v>4</x:v>
      </x:c>
      <x:c r="E86" s="58" t="n">
        <x:f>IFERROR(D86/COUNTA('Raw Responses'!$Z$5:$Z$36),0)</x:f>
        <x:v>0.125</x:v>
      </x:c>
      <x:c r="F86" s="54" t="str">
        <x:v>Collaboration helped me identify connections, challenge assumptions, or reach conclusions I would not have reached alone.</x:v>
      </x:c>
    </x:row>
    <x:row r="87">
      <x:c r="A87" s="54" t="str">
        <x:v>q32</x:v>
      </x:c>
      <x:c r="B87" s="54" t="str">
        <x:v>Evidence Drop &amp; Investigation Format</x:v>
      </x:c>
      <x:c r="C87" s="54" t="str">
        <x:v>Agree</x:v>
      </x:c>
      <x:c r="D87" s="54" t="n">
        <x:f>COUNTIF('Raw Responses'!$Z$5:$Z$36,C87)</x:f>
        <x:v>12</x:v>
      </x:c>
      <x:c r="E87" s="58" t="n">
        <x:f>IFERROR(D87/COUNTA('Raw Responses'!$Z$5:$Z$36),0)</x:f>
        <x:v>0.375</x:v>
      </x:c>
      <x:c r="F87" s="54" t="str">
        <x:v>Collaboration helped me identify connections, challenge assumptions, or reach conclusions I would not have reached alone.</x:v>
      </x:c>
    </x:row>
    <x:row r="88">
      <x:c r="A88" s="54" t="str">
        <x:v>q32</x:v>
      </x:c>
      <x:c r="B88" s="54" t="str">
        <x:v>Evidence Drop &amp; Investigation Format</x:v>
      </x:c>
      <x:c r="C88" s="54" t="str">
        <x:v>Strongly agree</x:v>
      </x:c>
      <x:c r="D88" s="54" t="n">
        <x:f>COUNTIF('Raw Responses'!$Z$5:$Z$36,C88)</x:f>
        <x:v>14</x:v>
      </x:c>
      <x:c r="E88" s="58" t="n">
        <x:f>IFERROR(D88/COUNTA('Raw Responses'!$Z$5:$Z$36),0)</x:f>
        <x:v>0.4375</x:v>
      </x:c>
      <x:c r="F88" s="54" t="str">
        <x:v>Collaboration helped me identify connections, challenge assumptions, or reach conclusions I would not have reached alone.</x:v>
      </x:c>
    </x:row>
    <x:row r="89">
      <x:c r="A89" s="54" t="str">
        <x:v>q33</x:v>
      </x:c>
      <x:c r="B89" s="54" t="str">
        <x:v>Evidence Drop &amp; Investigation Format</x:v>
      </x:c>
      <x:c r="C89" s="54" t="str">
        <x:v>Strongly disagree</x:v>
      </x:c>
      <x:c r="D89" s="54" t="n">
        <x:f>COUNTIF('Raw Responses'!$AA$5:$AA$36,C89)</x:f>
        <x:v>2</x:v>
      </x:c>
      <x:c r="E89" s="58" t="n">
        <x:f>IFERROR(D89/COUNTA('Raw Responses'!$AA$5:$AA$36),0)</x:f>
        <x:v>0.0625</x:v>
      </x:c>
      <x:c r="F89" s="54" t="str">
        <x:v>The balance between individual investigation and squad/class collaboration was appropriate.</x:v>
      </x:c>
    </x:row>
    <x:row r="90">
      <x:c r="A90" s="54" t="str">
        <x:v>q33</x:v>
      </x:c>
      <x:c r="B90" s="54" t="str">
        <x:v>Evidence Drop &amp; Investigation Format</x:v>
      </x:c>
      <x:c r="C90" s="54" t="str">
        <x:v>Disagree</x:v>
      </x:c>
      <x:c r="D90" s="54" t="n">
        <x:f>COUNTIF('Raw Responses'!$AA$5:$AA$36,C90)</x:f>
        <x:v>3</x:v>
      </x:c>
      <x:c r="E90" s="58" t="n">
        <x:f>IFERROR(D90/COUNTA('Raw Responses'!$AA$5:$AA$36),0)</x:f>
        <x:v>0.09375</x:v>
      </x:c>
      <x:c r="F90" s="54" t="str">
        <x:v>The balance between individual investigation and squad/class collaboration was appropriate.</x:v>
      </x:c>
    </x:row>
    <x:row r="91">
      <x:c r="A91" s="54" t="str">
        <x:v>q33</x:v>
      </x:c>
      <x:c r="B91" s="54" t="str">
        <x:v>Evidence Drop &amp; Investigation Format</x:v>
      </x:c>
      <x:c r="C91" s="54" t="str">
        <x:v>Neutral</x:v>
      </x:c>
      <x:c r="D91" s="54" t="n">
        <x:f>COUNTIF('Raw Responses'!$AA$5:$AA$36,C91)</x:f>
        <x:v>6</x:v>
      </x:c>
      <x:c r="E91" s="58" t="n">
        <x:f>IFERROR(D91/COUNTA('Raw Responses'!$AA$5:$AA$36),0)</x:f>
        <x:v>0.1875</x:v>
      </x:c>
      <x:c r="F91" s="54" t="str">
        <x:v>The balance between individual investigation and squad/class collaboration was appropriate.</x:v>
      </x:c>
    </x:row>
    <x:row r="92">
      <x:c r="A92" s="54" t="str">
        <x:v>q33</x:v>
      </x:c>
      <x:c r="B92" s="54" t="str">
        <x:v>Evidence Drop &amp; Investigation Format</x:v>
      </x:c>
      <x:c r="C92" s="54" t="str">
        <x:v>Agree</x:v>
      </x:c>
      <x:c r="D92" s="54" t="n">
        <x:f>COUNTIF('Raw Responses'!$AA$5:$AA$36,C92)</x:f>
        <x:v>12</x:v>
      </x:c>
      <x:c r="E92" s="58" t="n">
        <x:f>IFERROR(D92/COUNTA('Raw Responses'!$AA$5:$AA$36),0)</x:f>
        <x:v>0.375</x:v>
      </x:c>
      <x:c r="F92" s="54" t="str">
        <x:v>The balance between individual investigation and squad/class collaboration was appropriate.</x:v>
      </x:c>
    </x:row>
    <x:row r="93">
      <x:c r="A93" s="54" t="str">
        <x:v>q33</x:v>
      </x:c>
      <x:c r="B93" s="54" t="str">
        <x:v>Evidence Drop &amp; Investigation Format</x:v>
      </x:c>
      <x:c r="C93" s="54" t="str">
        <x:v>Strongly agree</x:v>
      </x:c>
      <x:c r="D93" s="54" t="n">
        <x:f>COUNTIF('Raw Responses'!$AA$5:$AA$36,C93)</x:f>
        <x:v>9</x:v>
      </x:c>
      <x:c r="E93" s="58" t="n">
        <x:f>IFERROR(D93/COUNTA('Raw Responses'!$AA$5:$AA$36),0)</x:f>
        <x:v>0.28125</x:v>
      </x:c>
      <x:c r="F93" s="54" t="str">
        <x:v>The balance between individual investigation and squad/class collaboration was appropriate.</x:v>
      </x:c>
    </x:row>
    <x:row r="94">
      <x:c r="A94" s="54" t="str">
        <x:v>q34</x:v>
      </x:c>
      <x:c r="B94" s="54" t="str">
        <x:v>Evidence Drop &amp; Investigation Format</x:v>
      </x:c>
      <x:c r="C94" s="54" t="str">
        <x:v>Keep the format as it is</x:v>
      </x:c>
      <x:c r="D94" s="54" t="n">
        <x:f>COUNTIF('Raw Responses'!$AB$5:$AB$36,C94)</x:f>
        <x:v>1</x:v>
      </x:c>
      <x:c r="E94" s="58" t="n">
        <x:f>IFERROR(D94/COUNTA('Raw Responses'!$AB$5:$AB$36),0)</x:f>
        <x:v>0.03125</x:v>
      </x:c>
      <x:c r="F94" s="54" t="str">
        <x:v>Which change would most improve the course format?</x:v>
      </x:c>
    </x:row>
    <x:row r="95">
      <x:c r="A95" s="54" t="str">
        <x:v>q34</x:v>
      </x:c>
      <x:c r="B95" s="54" t="str">
        <x:v>Evidence Drop &amp; Investigation Format</x:v>
      </x:c>
      <x:c r="C95" s="54" t="str">
        <x:v>Provide more briefing before each evidence drop</x:v>
      </x:c>
      <x:c r="D95" s="54" t="n">
        <x:f>COUNTIF('Raw Responses'!$AB$5:$AB$36,C95)</x:f>
        <x:v>3</x:v>
      </x:c>
      <x:c r="E95" s="58" t="n">
        <x:f>IFERROR(D95/COUNTA('Raw Responses'!$AB$5:$AB$36),0)</x:f>
        <x:v>0.09375</x:v>
      </x:c>
      <x:c r="F95" s="54" t="str">
        <x:v>Which change would most improve the course format?</x:v>
      </x:c>
    </x:row>
    <x:row r="96">
      <x:c r="A96" s="54" t="str">
        <x:v>q34</x:v>
      </x:c>
      <x:c r="B96" s="54" t="str">
        <x:v>Evidence Drop &amp; Investigation Format</x:v>
      </x:c>
      <x:c r="C96" s="54" t="str">
        <x:v>Allow more independent investigation time</x:v>
      </x:c>
      <x:c r="D96" s="54" t="n">
        <x:f>COUNTIF('Raw Responses'!$AB$5:$AB$36,C96)</x:f>
        <x:v>4</x:v>
      </x:c>
      <x:c r="E96" s="58" t="n">
        <x:f>IFERROR(D96/COUNTA('Raw Responses'!$AB$5:$AB$36),0)</x:f>
        <x:v>0.125</x:v>
      </x:c>
      <x:c r="F96" s="54" t="str">
        <x:v>Which change would most improve the course format?</x:v>
      </x:c>
    </x:row>
    <x:row r="97">
      <x:c r="A97" s="54" t="str">
        <x:v>q34</x:v>
      </x:c>
      <x:c r="B97" s="54" t="str">
        <x:v>Evidence Drop &amp; Investigation Format</x:v>
      </x:c>
      <x:c r="C97" s="54" t="str">
        <x:v>Allow more squad or class collaboration time</x:v>
      </x:c>
      <x:c r="D97" s="54" t="n">
        <x:f>COUNTIF('Raw Responses'!$AB$5:$AB$36,C97)</x:f>
        <x:v>6</x:v>
      </x:c>
      <x:c r="E97" s="58" t="n">
        <x:f>IFERROR(D97/COUNTA('Raw Responses'!$AB$5:$AB$36),0)</x:f>
        <x:v>0.1875</x:v>
      </x:c>
      <x:c r="F97" s="54" t="str">
        <x:v>Which change would most improve the course format?</x:v>
      </x:c>
    </x:row>
    <x:row r="98">
      <x:c r="A98" s="54" t="str">
        <x:v>q34</x:v>
      </x:c>
      <x:c r="B98" s="54" t="str">
        <x:v>Evidence Drop &amp; Investigation Format</x:v>
      </x:c>
      <x:c r="C98" s="54" t="str">
        <x:v>Use smaller, more frequent evidence drops</x:v>
      </x:c>
      <x:c r="D98" s="54" t="n">
        <x:f>COUNTIF('Raw Responses'!$AB$5:$AB$36,C98)</x:f>
        <x:v>9</x:v>
      </x:c>
      <x:c r="E98" s="58" t="n">
        <x:f>IFERROR(D98/COUNTA('Raw Responses'!$AB$5:$AB$36),0)</x:f>
        <x:v>0.28125</x:v>
      </x:c>
      <x:c r="F98" s="54" t="str">
        <x:v>Which change would most improve the course format?</x:v>
      </x:c>
    </x:row>
    <x:row r="99">
      <x:c r="A99" s="54" t="str">
        <x:v>q34</x:v>
      </x:c>
      <x:c r="B99" s="54" t="str">
        <x:v>Evidence Drop &amp; Investigation Format</x:v>
      </x:c>
      <x:c r="C99" s="54" t="str">
        <x:v>Use fewer, larger evidence drops</x:v>
      </x:c>
      <x:c r="D99" s="54" t="n">
        <x:f>COUNTIF('Raw Responses'!$AB$5:$AB$36,C99)</x:f>
        <x:v>2</x:v>
      </x:c>
      <x:c r="E99" s="58" t="n">
        <x:f>IFERROR(D99/COUNTA('Raw Responses'!$AB$5:$AB$36),0)</x:f>
        <x:v>0.0625</x:v>
      </x:c>
      <x:c r="F99" s="54" t="str">
        <x:v>Which change would most improve the course format?</x:v>
      </x:c>
    </x:row>
    <x:row r="100">
      <x:c r="A100" s="54" t="str">
        <x:v>q34</x:v>
      </x:c>
      <x:c r="B100" s="54" t="str">
        <x:v>Evidence Drop &amp; Investigation Format</x:v>
      </x:c>
      <x:c r="C100" s="54" t="str">
        <x:v>Other (describe below)</x:v>
      </x:c>
      <x:c r="D100" s="54" t="n">
        <x:f>COUNTIF('Raw Responses'!$AB$5:$AB$36,C100)</x:f>
        <x:v>7</x:v>
      </x:c>
      <x:c r="E100" s="58" t="n">
        <x:f>IFERROR(D100/COUNTA('Raw Responses'!$AB$5:$AB$36),0)</x:f>
        <x:v>0.21875</x:v>
      </x:c>
      <x:c r="F100" s="54" t="str">
        <x:v>Which change would most improve the course format?</x:v>
      </x:c>
    </x:row>
    <x:row r="101">
      <x:c r="A101" s="54" t="str">
        <x:v>q22</x:v>
      </x:c>
      <x:c r="B101" s="54" t="str">
        <x:v>Application Experience</x:v>
      </x:c>
      <x:c r="C101" s="54" t="str">
        <x:v>Strongly disagree</x:v>
      </x:c>
      <x:c r="D101" s="54" t="n">
        <x:f>COUNTIF('Raw Responses'!$AD$5:$AD$36,C101)</x:f>
        <x:v>5</x:v>
      </x:c>
      <x:c r="E101" s="58" t="n">
        <x:f>IFERROR(D101/COUNTA('Raw Responses'!$AD$5:$AD$36),0)</x:f>
        <x:v>0.15625</x:v>
      </x:c>
      <x:c r="F101" s="54" t="str">
        <x:v>The application performed reliably during class exercises.</x:v>
      </x:c>
    </x:row>
    <x:row r="102">
      <x:c r="A102" s="54" t="str">
        <x:v>q22</x:v>
      </x:c>
      <x:c r="B102" s="54" t="str">
        <x:v>Application Experience</x:v>
      </x:c>
      <x:c r="C102" s="54" t="str">
        <x:v>Disagree</x:v>
      </x:c>
      <x:c r="D102" s="54" t="n">
        <x:f>COUNTIF('Raw Responses'!$AD$5:$AD$36,C102)</x:f>
        <x:v>7</x:v>
      </x:c>
      <x:c r="E102" s="58" t="n">
        <x:f>IFERROR(D102/COUNTA('Raw Responses'!$AD$5:$AD$36),0)</x:f>
        <x:v>0.21875</x:v>
      </x:c>
      <x:c r="F102" s="54" t="str">
        <x:v>The application performed reliably during class exercises.</x:v>
      </x:c>
    </x:row>
    <x:row r="103">
      <x:c r="A103" s="54" t="str">
        <x:v>q22</x:v>
      </x:c>
      <x:c r="B103" s="54" t="str">
        <x:v>Application Experience</x:v>
      </x:c>
      <x:c r="C103" s="54" t="str">
        <x:v>Neutral</x:v>
      </x:c>
      <x:c r="D103" s="54" t="n">
        <x:f>COUNTIF('Raw Responses'!$AD$5:$AD$36,C103)</x:f>
        <x:v>13</x:v>
      </x:c>
      <x:c r="E103" s="58" t="n">
        <x:f>IFERROR(D103/COUNTA('Raw Responses'!$AD$5:$AD$36),0)</x:f>
        <x:v>0.40625</x:v>
      </x:c>
      <x:c r="F103" s="54" t="str">
        <x:v>The application performed reliably during class exercises.</x:v>
      </x:c>
    </x:row>
    <x:row r="104">
      <x:c r="A104" s="54" t="str">
        <x:v>q22</x:v>
      </x:c>
      <x:c r="B104" s="54" t="str">
        <x:v>Application Experience</x:v>
      </x:c>
      <x:c r="C104" s="54" t="str">
        <x:v>Agree</x:v>
      </x:c>
      <x:c r="D104" s="54" t="n">
        <x:f>COUNTIF('Raw Responses'!$AD$5:$AD$36,C104)</x:f>
        <x:v>5</x:v>
      </x:c>
      <x:c r="E104" s="58" t="n">
        <x:f>IFERROR(D104/COUNTA('Raw Responses'!$AD$5:$AD$36),0)</x:f>
        <x:v>0.15625</x:v>
      </x:c>
      <x:c r="F104" s="54" t="str">
        <x:v>The application performed reliably during class exercises.</x:v>
      </x:c>
    </x:row>
    <x:row r="105">
      <x:c r="A105" s="54" t="str">
        <x:v>q22</x:v>
      </x:c>
      <x:c r="B105" s="54" t="str">
        <x:v>Application Experience</x:v>
      </x:c>
      <x:c r="C105" s="54" t="str">
        <x:v>Strongly agree</x:v>
      </x:c>
      <x:c r="D105" s="54" t="n">
        <x:f>COUNTIF('Raw Responses'!$AD$5:$AD$36,C105)</x:f>
        <x:v>2</x:v>
      </x:c>
      <x:c r="E105" s="58" t="n">
        <x:f>IFERROR(D105/COUNTA('Raw Responses'!$AD$5:$AD$36),0)</x:f>
        <x:v>0.0625</x:v>
      </x:c>
      <x:c r="F105" s="54" t="str">
        <x:v>The application performed reliably during class exercises.</x:v>
      </x:c>
    </x:row>
    <x:row r="106">
      <x:c r="A106" s="54" t="str">
        <x:v>q23</x:v>
      </x:c>
      <x:c r="B106" s="54" t="str">
        <x:v>Application Experience</x:v>
      </x:c>
      <x:c r="C106" s="54" t="str">
        <x:v>Strongly disagree</x:v>
      </x:c>
      <x:c r="D106" s="54" t="n">
        <x:f>COUNTIF('Raw Responses'!$AE$5:$AE$36,C106)</x:f>
        <x:v>3</x:v>
      </x:c>
      <x:c r="E106" s="58" t="n">
        <x:f>IFERROR(D106/COUNTA('Raw Responses'!$AE$5:$AE$36),0)</x:f>
        <x:v>0.09375</x:v>
      </x:c>
      <x:c r="F106" s="54" t="str">
        <x:v>Pages and workflows loaded fast enough for class use.</x:v>
      </x:c>
    </x:row>
    <x:row r="107">
      <x:c r="A107" s="54" t="str">
        <x:v>q23</x:v>
      </x:c>
      <x:c r="B107" s="54" t="str">
        <x:v>Application Experience</x:v>
      </x:c>
      <x:c r="C107" s="54" t="str">
        <x:v>Disagree</x:v>
      </x:c>
      <x:c r="D107" s="54" t="n">
        <x:f>COUNTIF('Raw Responses'!$AE$5:$AE$36,C107)</x:f>
        <x:v>4</x:v>
      </x:c>
      <x:c r="E107" s="58" t="n">
        <x:f>IFERROR(D107/COUNTA('Raw Responses'!$AE$5:$AE$36),0)</x:f>
        <x:v>0.125</x:v>
      </x:c>
      <x:c r="F107" s="54" t="str">
        <x:v>Pages and workflows loaded fast enough for class use.</x:v>
      </x:c>
    </x:row>
    <x:row r="108">
      <x:c r="A108" s="54" t="str">
        <x:v>q23</x:v>
      </x:c>
      <x:c r="B108" s="54" t="str">
        <x:v>Application Experience</x:v>
      </x:c>
      <x:c r="C108" s="54" t="str">
        <x:v>Neutral</x:v>
      </x:c>
      <x:c r="D108" s="54" t="n">
        <x:f>COUNTIF('Raw Responses'!$AE$5:$AE$36,C108)</x:f>
        <x:v>10</x:v>
      </x:c>
      <x:c r="E108" s="58" t="n">
        <x:f>IFERROR(D108/COUNTA('Raw Responses'!$AE$5:$AE$36),0)</x:f>
        <x:v>0.3125</x:v>
      </x:c>
      <x:c r="F108" s="54" t="str">
        <x:v>Pages and workflows loaded fast enough for class use.</x:v>
      </x:c>
    </x:row>
    <x:row r="109">
      <x:c r="A109" s="54" t="str">
        <x:v>q23</x:v>
      </x:c>
      <x:c r="B109" s="54" t="str">
        <x:v>Application Experience</x:v>
      </x:c>
      <x:c r="C109" s="54" t="str">
        <x:v>Agree</x:v>
      </x:c>
      <x:c r="D109" s="54" t="n">
        <x:f>COUNTIF('Raw Responses'!$AE$5:$AE$36,C109)</x:f>
        <x:v>12</x:v>
      </x:c>
      <x:c r="E109" s="58" t="n">
        <x:f>IFERROR(D109/COUNTA('Raw Responses'!$AE$5:$AE$36),0)</x:f>
        <x:v>0.375</x:v>
      </x:c>
      <x:c r="F109" s="54" t="str">
        <x:v>Pages and workflows loaded fast enough for class use.</x:v>
      </x:c>
    </x:row>
    <x:row r="110">
      <x:c r="A110" s="54" t="str">
        <x:v>q23</x:v>
      </x:c>
      <x:c r="B110" s="54" t="str">
        <x:v>Application Experience</x:v>
      </x:c>
      <x:c r="C110" s="54" t="str">
        <x:v>Strongly agree</x:v>
      </x:c>
      <x:c r="D110" s="54" t="n">
        <x:f>COUNTIF('Raw Responses'!$AE$5:$AE$36,C110)</x:f>
        <x:v>3</x:v>
      </x:c>
      <x:c r="E110" s="58" t="n">
        <x:f>IFERROR(D110/COUNTA('Raw Responses'!$AE$5:$AE$36),0)</x:f>
        <x:v>0.09375</x:v>
      </x:c>
      <x:c r="F110" s="54" t="str">
        <x:v>Pages and workflows loaded fast enough for class use.</x:v>
      </x:c>
    </x:row>
    <x:row r="111">
      <x:c r="A111" s="54" t="str">
        <x:v>q24</x:v>
      </x:c>
      <x:c r="B111" s="54" t="str">
        <x:v>Application Experience</x:v>
      </x:c>
      <x:c r="C111" s="54" t="str">
        <x:v>Strongly disagree</x:v>
      </x:c>
      <x:c r="D111" s="54" t="n">
        <x:f>COUNTIF('Raw Responses'!$AF$5:$AF$36,C111)</x:f>
        <x:v>1</x:v>
      </x:c>
      <x:c r="E111" s="58" t="n">
        <x:f>IFERROR(D111/COUNTA('Raw Responses'!$AF$5:$AF$36),0)</x:f>
        <x:v>0.03125</x:v>
      </x:c>
      <x:c r="F111" s="54" t="str">
        <x:v>The CTF and challenge tools were responsive.</x:v>
      </x:c>
    </x:row>
    <x:row r="112">
      <x:c r="A112" s="54" t="str">
        <x:v>q24</x:v>
      </x:c>
      <x:c r="B112" s="54" t="str">
        <x:v>Application Experience</x:v>
      </x:c>
      <x:c r="C112" s="54" t="str">
        <x:v>Disagree</x:v>
      </x:c>
      <x:c r="D112" s="54" t="n">
        <x:f>COUNTIF('Raw Responses'!$AF$5:$AF$36,C112)</x:f>
        <x:v>2</x:v>
      </x:c>
      <x:c r="E112" s="58" t="n">
        <x:f>IFERROR(D112/COUNTA('Raw Responses'!$AF$5:$AF$36),0)</x:f>
        <x:v>0.0625</x:v>
      </x:c>
      <x:c r="F112" s="54" t="str">
        <x:v>The CTF and challenge tools were responsive.</x:v>
      </x:c>
    </x:row>
    <x:row r="113">
      <x:c r="A113" s="54" t="str">
        <x:v>q24</x:v>
      </x:c>
      <x:c r="B113" s="54" t="str">
        <x:v>Application Experience</x:v>
      </x:c>
      <x:c r="C113" s="54" t="str">
        <x:v>Neutral</x:v>
      </x:c>
      <x:c r="D113" s="54" t="n">
        <x:f>COUNTIF('Raw Responses'!$AF$5:$AF$36,C113)</x:f>
        <x:v>13</x:v>
      </x:c>
      <x:c r="E113" s="58" t="n">
        <x:f>IFERROR(D113/COUNTA('Raw Responses'!$AF$5:$AF$36),0)</x:f>
        <x:v>0.40625</x:v>
      </x:c>
      <x:c r="F113" s="54" t="str">
        <x:v>The CTF and challenge tools were responsive.</x:v>
      </x:c>
    </x:row>
    <x:row r="114">
      <x:c r="A114" s="54" t="str">
        <x:v>q24</x:v>
      </x:c>
      <x:c r="B114" s="54" t="str">
        <x:v>Application Experience</x:v>
      </x:c>
      <x:c r="C114" s="54" t="str">
        <x:v>Agree</x:v>
      </x:c>
      <x:c r="D114" s="54" t="n">
        <x:f>COUNTIF('Raw Responses'!$AF$5:$AF$36,C114)</x:f>
        <x:v>13</x:v>
      </x:c>
      <x:c r="E114" s="58" t="n">
        <x:f>IFERROR(D114/COUNTA('Raw Responses'!$AF$5:$AF$36),0)</x:f>
        <x:v>0.40625</x:v>
      </x:c>
      <x:c r="F114" s="54" t="str">
        <x:v>The CTF and challenge tools were responsive.</x:v>
      </x:c>
    </x:row>
    <x:row r="115">
      <x:c r="A115" s="54" t="str">
        <x:v>q24</x:v>
      </x:c>
      <x:c r="B115" s="54" t="str">
        <x:v>Application Experience</x:v>
      </x:c>
      <x:c r="C115" s="54" t="str">
        <x:v>Strongly agree</x:v>
      </x:c>
      <x:c r="D115" s="54" t="n">
        <x:f>COUNTIF('Raw Responses'!$AF$5:$AF$36,C115)</x:f>
        <x:v>3</x:v>
      </x:c>
      <x:c r="E115" s="58" t="n">
        <x:f>IFERROR(D115/COUNTA('Raw Responses'!$AF$5:$AF$36),0)</x:f>
        <x:v>0.09375</x:v>
      </x:c>
      <x:c r="F115" s="54" t="str">
        <x:v>The CTF and challenge tools were responsive.</x:v>
      </x:c>
    </x:row>
    <x:row r="116">
      <x:c r="A116" s="54" t="str">
        <x:v>q25</x:v>
      </x:c>
      <x:c r="B116" s="54" t="str">
        <x:v>Application Experience</x:v>
      </x:c>
      <x:c r="C116" s="54" t="str">
        <x:v>Strongly disagree</x:v>
      </x:c>
      <x:c r="D116" s="54" t="n">
        <x:f>COUNTIF('Raw Responses'!$AG$5:$AG$36,C116)</x:f>
        <x:v>0</x:v>
      </x:c>
      <x:c r="E116" s="58" t="n">
        <x:f>IFERROR(D116/COUNTA('Raw Responses'!$AG$5:$AG$36),0)</x:f>
        <x:v>0</x:v>
      </x:c>
      <x:c r="F116" s="54" t="str">
        <x:v>I liked the application interface and usability.</x:v>
      </x:c>
    </x:row>
    <x:row r="117">
      <x:c r="A117" s="54" t="str">
        <x:v>q25</x:v>
      </x:c>
      <x:c r="B117" s="54" t="str">
        <x:v>Application Experience</x:v>
      </x:c>
      <x:c r="C117" s="54" t="str">
        <x:v>Disagree</x:v>
      </x:c>
      <x:c r="D117" s="54" t="n">
        <x:f>COUNTIF('Raw Responses'!$AG$5:$AG$36,C117)</x:f>
        <x:v>1</x:v>
      </x:c>
      <x:c r="E117" s="58" t="n">
        <x:f>IFERROR(D117/COUNTA('Raw Responses'!$AG$5:$AG$36),0)</x:f>
        <x:v>0.03125</x:v>
      </x:c>
      <x:c r="F117" s="54" t="str">
        <x:v>I liked the application interface and usability.</x:v>
      </x:c>
    </x:row>
    <x:row r="118">
      <x:c r="A118" s="54" t="str">
        <x:v>q25</x:v>
      </x:c>
      <x:c r="B118" s="54" t="str">
        <x:v>Application Experience</x:v>
      </x:c>
      <x:c r="C118" s="54" t="str">
        <x:v>Neutral</x:v>
      </x:c>
      <x:c r="D118" s="54" t="n">
        <x:f>COUNTIF('Raw Responses'!$AG$5:$AG$36,C118)</x:f>
        <x:v>10</x:v>
      </x:c>
      <x:c r="E118" s="58" t="n">
        <x:f>IFERROR(D118/COUNTA('Raw Responses'!$AG$5:$AG$36),0)</x:f>
        <x:v>0.3125</x:v>
      </x:c>
      <x:c r="F118" s="54" t="str">
        <x:v>I liked the application interface and usability.</x:v>
      </x:c>
    </x:row>
    <x:row r="119">
      <x:c r="A119" s="54" t="str">
        <x:v>q25</x:v>
      </x:c>
      <x:c r="B119" s="54" t="str">
        <x:v>Application Experience</x:v>
      </x:c>
      <x:c r="C119" s="54" t="str">
        <x:v>Agree</x:v>
      </x:c>
      <x:c r="D119" s="54" t="n">
        <x:f>COUNTIF('Raw Responses'!$AG$5:$AG$36,C119)</x:f>
        <x:v>13</x:v>
      </x:c>
      <x:c r="E119" s="58" t="n">
        <x:f>IFERROR(D119/COUNTA('Raw Responses'!$AG$5:$AG$36),0)</x:f>
        <x:v>0.40625</x:v>
      </x:c>
      <x:c r="F119" s="54" t="str">
        <x:v>I liked the application interface and usability.</x:v>
      </x:c>
    </x:row>
    <x:row r="120">
      <x:c r="A120" s="54" t="str">
        <x:v>q25</x:v>
      </x:c>
      <x:c r="B120" s="54" t="str">
        <x:v>Application Experience</x:v>
      </x:c>
      <x:c r="C120" s="54" t="str">
        <x:v>Strongly agree</x:v>
      </x:c>
      <x:c r="D120" s="54" t="n">
        <x:f>COUNTIF('Raw Responses'!$AG$5:$AG$36,C120)</x:f>
        <x:v>8</x:v>
      </x:c>
      <x:c r="E120" s="58" t="n">
        <x:f>IFERROR(D120/COUNTA('Raw Responses'!$AG$5:$AG$36),0)</x:f>
        <x:v>0.25</x:v>
      </x:c>
      <x:c r="F120" s="54" t="str">
        <x:v>I liked the application interface and usability.</x:v>
      </x:c>
    </x:row>
  </x:sheetData>
  <x:mergeCells>
    <x:mergeCell ref="A1:F1"/>
  </x:mergeCells>
  <x:pageMargins left="0.7" right="0.7" top="0.75" bottom="0.75" header="0.3" footer="0.3"/>
  <x:tableParts count="1">
    <x:tablePart xmlns:r="http://schemas.openxmlformats.org/officeDocument/2006/relationships" r:id="Re835ca975ba3417e"/>
  </x:tableParts>
</x:worksheet>
</file>